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376\OneDrive - CSIRO\Desktop\GHFF manuscript from Z\Data\"/>
    </mc:Choice>
  </mc:AlternateContent>
  <xr:revisionPtr revIDLastSave="0" documentId="13_ncr:1_{2579BB83-B8D9-45D2-BFCA-A1F4DCF7DF0E}" xr6:coauthVersionLast="47" xr6:coauthVersionMax="47" xr10:uidLastSave="{00000000-0000-0000-0000-000000000000}"/>
  <bookViews>
    <workbookView xWindow="-120" yWindow="-120" windowWidth="38640" windowHeight="21240" activeTab="3" xr2:uid="{F95DA73D-C3FB-4EBB-B86A-C1B86EA70215}"/>
  </bookViews>
  <sheets>
    <sheet name="NFFMP GHFF counts" sheetId="40" r:id="rId1"/>
    <sheet name="Covid affected surveys" sheetId="51" r:id="rId2"/>
    <sheet name="Fig 2 data" sheetId="49" r:id="rId3"/>
    <sheet name="Fig 3 data" sheetId="4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94" i="51" l="1"/>
  <c r="F394" i="51"/>
  <c r="E394" i="51"/>
  <c r="D394" i="51"/>
  <c r="AS5" i="41" l="1"/>
  <c r="AS6" i="41"/>
  <c r="AS4" i="41"/>
  <c r="AS751" i="40" l="1"/>
  <c r="AT751" i="40" s="1"/>
</calcChain>
</file>

<file path=xl/sharedStrings.xml><?xml version="1.0" encoding="utf-8"?>
<sst xmlns="http://schemas.openxmlformats.org/spreadsheetml/2006/main" count="1638" uniqueCount="898">
  <si>
    <t>CampID</t>
  </si>
  <si>
    <t>CampName</t>
  </si>
  <si>
    <t>State</t>
  </si>
  <si>
    <t>Lat</t>
  </si>
  <si>
    <t>Long</t>
  </si>
  <si>
    <t>Hervey Bay, Botanic Gardens</t>
  </si>
  <si>
    <t>Qld</t>
  </si>
  <si>
    <t>Maryborough, Albion Rd Wetlands (Island Plantation</t>
  </si>
  <si>
    <t>Maaroom, Esplanade</t>
  </si>
  <si>
    <t>Woocoo</t>
  </si>
  <si>
    <t>Glenwood Varley Road</t>
  </si>
  <si>
    <t>Goomboorian, Anderleigh Rd Ginger Creek</t>
  </si>
  <si>
    <t>Noosaville, Wallace Drive</t>
  </si>
  <si>
    <t>Kandanga</t>
  </si>
  <si>
    <t>Woodford</t>
  </si>
  <si>
    <t>Caboolture, Wararba Creek</t>
  </si>
  <si>
    <t>Atkinsons Dam</t>
  </si>
  <si>
    <t>Mount Ommaney - Westlake Drive</t>
  </si>
  <si>
    <t>Bundamba, Paice St</t>
  </si>
  <si>
    <t>Canungra, Beechmont Road</t>
  </si>
  <si>
    <t>Mudgeeraba, Burke Crescent</t>
  </si>
  <si>
    <t>Bundgeam, Moore Park</t>
  </si>
  <si>
    <t>NSW</t>
  </si>
  <si>
    <t>Nimbin, Neem Rd</t>
  </si>
  <si>
    <t>Lismore, Rotary Park</t>
  </si>
  <si>
    <t>Dalwood 1</t>
  </si>
  <si>
    <t>Angourie, West Camp</t>
  </si>
  <si>
    <t>Maclean</t>
  </si>
  <si>
    <t>Grafton, Susan Island</t>
  </si>
  <si>
    <t>Glenreagh</t>
  </si>
  <si>
    <t>Woolgoolga Lake</t>
  </si>
  <si>
    <t>Bellingen Island</t>
  </si>
  <si>
    <t>Nambucca - Gordon park</t>
  </si>
  <si>
    <t>Macksville</t>
  </si>
  <si>
    <t>Kempsey, Rudder park</t>
  </si>
  <si>
    <t>Kempsey cemetry</t>
  </si>
  <si>
    <t>Tamworth, King George Avenue</t>
  </si>
  <si>
    <t>Birdwood</t>
  </si>
  <si>
    <t>Port Macquarie, Kooloonbung Creek</t>
  </si>
  <si>
    <t>Brombin</t>
  </si>
  <si>
    <t>Kendall - Logans crossing</t>
  </si>
  <si>
    <t>Kendall, Bakers Creek</t>
  </si>
  <si>
    <t>Murrurindi</t>
  </si>
  <si>
    <t>Wingham Brush</t>
  </si>
  <si>
    <t>Cape Hawke</t>
  </si>
  <si>
    <t>Muswellbrook</t>
  </si>
  <si>
    <t>Dubbo, Macquarie River</t>
  </si>
  <si>
    <t>Wootton</t>
  </si>
  <si>
    <t>Wellington (Bell River)</t>
  </si>
  <si>
    <t>Raymond Terrace</t>
  </si>
  <si>
    <t>East Cessnock</t>
  </si>
  <si>
    <t>Watanobbi</t>
  </si>
  <si>
    <t>Avoca</t>
  </si>
  <si>
    <t>Warriewood</t>
  </si>
  <si>
    <t>Gordon</t>
  </si>
  <si>
    <t>Balgowlah</t>
  </si>
  <si>
    <t>Parramatta Park 1</t>
  </si>
  <si>
    <t>Gladesville</t>
  </si>
  <si>
    <t>Centennial Pk</t>
  </si>
  <si>
    <t>Wolli Creek</t>
  </si>
  <si>
    <t>Picton</t>
  </si>
  <si>
    <t>Kangaroo Valley</t>
  </si>
  <si>
    <t>Nowra, Brinawarr st</t>
  </si>
  <si>
    <t>Adelaide Botanic Gardens</t>
  </si>
  <si>
    <t>SA</t>
  </si>
  <si>
    <t>Albury, Leaney's Bend</t>
  </si>
  <si>
    <t>Numurkah</t>
  </si>
  <si>
    <t>Vic</t>
  </si>
  <si>
    <t>Tatura</t>
  </si>
  <si>
    <t>Bega, Glebe Park</t>
  </si>
  <si>
    <t>Bendigo, Rosalind Park</t>
  </si>
  <si>
    <t>Karbethong</t>
  </si>
  <si>
    <t>Yarra Bend</t>
  </si>
  <si>
    <t>Bairnsdale</t>
  </si>
  <si>
    <t>Doveton</t>
  </si>
  <si>
    <t>Geelong, Eastern Park</t>
  </si>
  <si>
    <t>Ingham</t>
  </si>
  <si>
    <t>Finch Hatton Gorge</t>
  </si>
  <si>
    <t>Kabra</t>
  </si>
  <si>
    <t>Bundaberg, Baldwin Swamp Environment Park</t>
  </si>
  <si>
    <t>Hervey Bay, Tooan Tooan</t>
  </si>
  <si>
    <t>Craignish Heights</t>
  </si>
  <si>
    <t>Maryborough, Kent Street</t>
  </si>
  <si>
    <t>Coalstoun Lakes Recreation Reserve</t>
  </si>
  <si>
    <t>Gympie</t>
  </si>
  <si>
    <t>Cooran - Yellow Belly Reserve</t>
  </si>
  <si>
    <t>Coolum, Cassia Wildlife Corridor</t>
  </si>
  <si>
    <t>Maroochydore, Stella Maris CS</t>
  </si>
  <si>
    <t>Mooloolaba, Goonawarra Drive</t>
  </si>
  <si>
    <t>Palmwoods, Jubilee Drive</t>
  </si>
  <si>
    <t>Palmview, Glenview Road</t>
  </si>
  <si>
    <t>Maleny, Mary Cairncross Scenic Reserve</t>
  </si>
  <si>
    <t>Andrea Ahern Bushland Park</t>
  </si>
  <si>
    <t>Tooway Creek</t>
  </si>
  <si>
    <t>Landsborough, Vidler Crt</t>
  </si>
  <si>
    <t>Kilcoy, Kilcoy Creek (Anzac Park)</t>
  </si>
  <si>
    <t>Sandstone Point, Bestman Rd</t>
  </si>
  <si>
    <t>Burpengary Equestrian</t>
  </si>
  <si>
    <t>Redcliffe Botanic Gardens</t>
  </si>
  <si>
    <t>Esk</t>
  </si>
  <si>
    <t>Sandgate, Curlew Park</t>
  </si>
  <si>
    <t>The Gap, Riaweena St</t>
  </si>
  <si>
    <t>The Gap, Waterworks Road</t>
  </si>
  <si>
    <t>Lowood Bend (Camp 1) Brisbane River</t>
  </si>
  <si>
    <t>Brisbane, Giffin Park</t>
  </si>
  <si>
    <t>Toowong Perrin Park, Josling St</t>
  </si>
  <si>
    <t>North Stradbroke Island, Dunwich (Mitchell Cres.)</t>
  </si>
  <si>
    <t>Birkdale, Judy Holt Bushland Refuge</t>
  </si>
  <si>
    <t>Alexandra Hills, Lawn Terrace</t>
  </si>
  <si>
    <t>Cleveland, Black Swamp</t>
  </si>
  <si>
    <t xml:space="preserve">Sunnybank (Les Atkinson Park) </t>
  </si>
  <si>
    <t>Woodend</t>
  </si>
  <si>
    <t>Walloon, Poplar Street Reserve</t>
  </si>
  <si>
    <t>Ipswich Nature Centre, Queens Park, Goleby Ave</t>
  </si>
  <si>
    <t>Laidley, Laidley Plainlands Road</t>
  </si>
  <si>
    <t xml:space="preserve">Parkinson, Avondale Crescent </t>
  </si>
  <si>
    <t>Camira, Barbara Street</t>
  </si>
  <si>
    <t>Laidley</t>
  </si>
  <si>
    <t xml:space="preserve">Yamanto </t>
  </si>
  <si>
    <t>Loganholme, Timor Avenue</t>
  </si>
  <si>
    <t>Loganholme, Alexander Clark Park</t>
  </si>
  <si>
    <t>Beenleigh, Lincoln St</t>
  </si>
  <si>
    <t>Jacobs Well, Kumgum Street</t>
  </si>
  <si>
    <t>Cedar Grove</t>
  </si>
  <si>
    <t>Chiba Reserve, Burrendong Rd, Coombabah</t>
  </si>
  <si>
    <t>Helensvale</t>
  </si>
  <si>
    <t>Runaway Bay, Godlonton Reserve</t>
  </si>
  <si>
    <t xml:space="preserve">Tamborine NP (Joalah Sec) </t>
  </si>
  <si>
    <t>Nerang, Gilston Road</t>
  </si>
  <si>
    <t>Canungra Creek Park</t>
  </si>
  <si>
    <t>Carrara, Edelsten Court</t>
  </si>
  <si>
    <t>Miami, Chairlift Avenue</t>
  </si>
  <si>
    <t>Robina, Kiralee Dr</t>
  </si>
  <si>
    <t>Burleigh Knoll, Burleigh Street, Burleigh Waters</t>
  </si>
  <si>
    <t>Mudgeeraba</t>
  </si>
  <si>
    <t>Currumbin Creek</t>
  </si>
  <si>
    <t>Tweed Heads, Big Island</t>
  </si>
  <si>
    <t>Banora Point, Barneys Point Rd</t>
  </si>
  <si>
    <t>Chinderah</t>
  </si>
  <si>
    <t>Murwillumbah, Tree st</t>
  </si>
  <si>
    <t>Kingsciffe library</t>
  </si>
  <si>
    <t>Murwillumbah, Frangela Drv</t>
  </si>
  <si>
    <t>Murwillumbah, Brays Park</t>
  </si>
  <si>
    <t>Tyalgum Creek</t>
  </si>
  <si>
    <t>Pottsville</t>
  </si>
  <si>
    <t>Uki</t>
  </si>
  <si>
    <t>Burringbar</t>
  </si>
  <si>
    <t>Lynches Creek</t>
  </si>
  <si>
    <t>Mullimbimby</t>
  </si>
  <si>
    <t>Nimbin (Cullen Rd)</t>
  </si>
  <si>
    <t>Nimbin (Cecil Street)</t>
  </si>
  <si>
    <t>Kyogle</t>
  </si>
  <si>
    <t>Ewingsdale</t>
  </si>
  <si>
    <t>Ewingsdale, Simpson creek</t>
  </si>
  <si>
    <t>Byron bay, Middleton st</t>
  </si>
  <si>
    <t>Federal, Coachwood camp</t>
  </si>
  <si>
    <t>Dorroughby</t>
  </si>
  <si>
    <t>Bangalow, Byron Creek</t>
  </si>
  <si>
    <t>Bangalow, Paddys Creek</t>
  </si>
  <si>
    <t>Suffolk Park</t>
  </si>
  <si>
    <t>Jiggi</t>
  </si>
  <si>
    <t>Clunes</t>
  </si>
  <si>
    <t>Alstonville, Lumley Park</t>
  </si>
  <si>
    <t>Ballina, Little Fishery Creek</t>
  </si>
  <si>
    <t>Casino</t>
  </si>
  <si>
    <t>Yetman</t>
  </si>
  <si>
    <t>Broadwater</t>
  </si>
  <si>
    <t>Evans Head</t>
  </si>
  <si>
    <t>Iluka</t>
  </si>
  <si>
    <t>Coffs Harbour, Coffs Creek</t>
  </si>
  <si>
    <t>Toormina</t>
  </si>
  <si>
    <t>Thora (Hobarts Bridge)</t>
  </si>
  <si>
    <t>Armidale</t>
  </si>
  <si>
    <t>Arakoon</t>
  </si>
  <si>
    <t>Jerseyville, Rotary Park</t>
  </si>
  <si>
    <t>Tamworth, Gipps Street</t>
  </si>
  <si>
    <t>Lansdowne State Forest (Pipeclay Creek)</t>
  </si>
  <si>
    <t>Taree, Coocumbac Island</t>
  </si>
  <si>
    <t>Allyn River, Whiterock</t>
  </si>
  <si>
    <t>Forster, cocos Cresent</t>
  </si>
  <si>
    <t>Dungog, Main Creek</t>
  </si>
  <si>
    <t>Pacific Palms Recreation</t>
  </si>
  <si>
    <t>Smiths Lake</t>
  </si>
  <si>
    <t>Dungog, Williams River</t>
  </si>
  <si>
    <t>Gresford</t>
  </si>
  <si>
    <t>Singleton, Burdekin Park</t>
  </si>
  <si>
    <t>Mudgee</t>
  </si>
  <si>
    <t>Tocal</t>
  </si>
  <si>
    <t>Hawks Nest</t>
  </si>
  <si>
    <t>Tenambit</t>
  </si>
  <si>
    <t>Carrington Mangroves</t>
  </si>
  <si>
    <t>Newcastle, Blackbutt Reserve</t>
  </si>
  <si>
    <t>Blackalls Park (91 Fennell Crescent)</t>
  </si>
  <si>
    <t>Morisset (Mandalong)</t>
  </si>
  <si>
    <t>Orange, Cook Park</t>
  </si>
  <si>
    <t>Orange, Ploughmans Lane</t>
  </si>
  <si>
    <t>Bathurst, Machattie Park</t>
  </si>
  <si>
    <t>Yarramundi</t>
  </si>
  <si>
    <t>Avalon</t>
  </si>
  <si>
    <t>Emu Plains</t>
  </si>
  <si>
    <t>Ropes Creek</t>
  </si>
  <si>
    <t>Wetherill Pk</t>
  </si>
  <si>
    <t>Clyde</t>
  </si>
  <si>
    <t>Cowra</t>
  </si>
  <si>
    <t>Grenfell</t>
  </si>
  <si>
    <t>Cabramatta</t>
  </si>
  <si>
    <t>Oatley</t>
  </si>
  <si>
    <t>Macquarie Fields</t>
  </si>
  <si>
    <t>Kareela</t>
  </si>
  <si>
    <t>Camden, Brownlow Hill</t>
  </si>
  <si>
    <t>Kareena Park</t>
  </si>
  <si>
    <t>Campbelltown</t>
  </si>
  <si>
    <t>Wollongong, Figtree</t>
  </si>
  <si>
    <t>West Dapto</t>
  </si>
  <si>
    <t>Shellharbour, Blackbutt Reserve</t>
  </si>
  <si>
    <t>Kiama, Spring Creek</t>
  </si>
  <si>
    <t>Kiama, Boniara st</t>
  </si>
  <si>
    <t>Berry</t>
  </si>
  <si>
    <t>Nowra, Bugong Creek</t>
  </si>
  <si>
    <t>Yass</t>
  </si>
  <si>
    <t>Wandandian, Bewong Creek</t>
  </si>
  <si>
    <t>Yatteyattah</t>
  </si>
  <si>
    <t>Canberra, Commonwealth Park</t>
  </si>
  <si>
    <t>ACT</t>
  </si>
  <si>
    <t>Tumut River Island</t>
  </si>
  <si>
    <t>Braidwood</t>
  </si>
  <si>
    <t>Kioloa</t>
  </si>
  <si>
    <t>Currowan</t>
  </si>
  <si>
    <t>Bateman's Bay, Water Gardens</t>
  </si>
  <si>
    <t>Bateman's Bay, Catalina</t>
  </si>
  <si>
    <t>Tuross, Foam st</t>
  </si>
  <si>
    <t>Narooma</t>
  </si>
  <si>
    <t>Wallaga Lake</t>
  </si>
  <si>
    <t>Murrungowar, Swans Track</t>
  </si>
  <si>
    <t>Orbost, Newmerella</t>
  </si>
  <si>
    <t>Werribee Park</t>
  </si>
  <si>
    <t>Maffra, Tinamba Rd</t>
  </si>
  <si>
    <t>Sale</t>
  </si>
  <si>
    <t>Traralgon, Victory Park</t>
  </si>
  <si>
    <t>Warrnambool</t>
  </si>
  <si>
    <t>Woodside, Bruthen Cresent</t>
  </si>
  <si>
    <t>Tolga Scrub</t>
  </si>
  <si>
    <t>Dan Gleeson Memorial Park</t>
  </si>
  <si>
    <t>Mt Isa cemetry</t>
  </si>
  <si>
    <t>Eimeo Mangroves</t>
  </si>
  <si>
    <t>Eungella State School</t>
  </si>
  <si>
    <t>Moranbah</t>
  </si>
  <si>
    <t>Clermont</t>
  </si>
  <si>
    <t>Bell Park</t>
  </si>
  <si>
    <t>Keppel Sands</t>
  </si>
  <si>
    <t>Emerald Botanic Gardens Rainforest</t>
  </si>
  <si>
    <t>Blackwater</t>
  </si>
  <si>
    <t>Westwood, Capricornia Highway</t>
  </si>
  <si>
    <t>Duaringa</t>
  </si>
  <si>
    <t>Wowan</t>
  </si>
  <si>
    <t>Boyne River (Arthur Street)</t>
  </si>
  <si>
    <t>Calliope</t>
  </si>
  <si>
    <t>Mirriam Vale</t>
  </si>
  <si>
    <t>Biloela</t>
  </si>
  <si>
    <t>Kilmory</t>
  </si>
  <si>
    <t>Moura</t>
  </si>
  <si>
    <t>Gooburrum, Billabong Drive</t>
  </si>
  <si>
    <t>Bargara, Larder Street</t>
  </si>
  <si>
    <t>North Bundaberg, Botanic Gardens, Young St</t>
  </si>
  <si>
    <t>Bundaberg, Harriet Island/Don Tallon Bridge</t>
  </si>
  <si>
    <t>Avoca, McCoys Creek</t>
  </si>
  <si>
    <t>Takarakka Bush Resort</t>
  </si>
  <si>
    <t xml:space="preserve">Burrum River (upper), Junction Cherwell River </t>
  </si>
  <si>
    <t>Horton, 59 Station Road</t>
  </si>
  <si>
    <t>Isis Golf club</t>
  </si>
  <si>
    <t>Childers (Mango Hill)</t>
  </si>
  <si>
    <t>Maryborough, Little Tinana Ck</t>
  </si>
  <si>
    <t>Gayndah Township</t>
  </si>
  <si>
    <t>Beenaam Valley, Beenham Valley Road</t>
  </si>
  <si>
    <t>Kinmond Creek, Cootharaba Road</t>
  </si>
  <si>
    <t>Ringtail Creek, Tronson Road</t>
  </si>
  <si>
    <t>Noosaville, Weyba Creek</t>
  </si>
  <si>
    <t>Bungil Creek</t>
  </si>
  <si>
    <t>Palmwoods, Dunning Street</t>
  </si>
  <si>
    <t>Conondale, Herron Rd</t>
  </si>
  <si>
    <t>Chinchilla, Dorney Street</t>
  </si>
  <si>
    <t>Chinchilla</t>
  </si>
  <si>
    <t>Peachester</t>
  </si>
  <si>
    <t>Linville, John Street</t>
  </si>
  <si>
    <t>The Palms National Park, Cooyar</t>
  </si>
  <si>
    <t>Dalby, Myall Creek</t>
  </si>
  <si>
    <t>Dayboro, Railway Street</t>
  </si>
  <si>
    <t>Scarborough, Sunnyside Rd</t>
  </si>
  <si>
    <t>Dayboro, Strong Road</t>
  </si>
  <si>
    <t>Strathpine, Pine Rivers Park, Gympie Road</t>
  </si>
  <si>
    <t>Deagon</t>
  </si>
  <si>
    <t>Albany Creek, Kingfisher Street</t>
  </si>
  <si>
    <t>Samford, Days Road</t>
  </si>
  <si>
    <t>Chermside West, Downfall Creek</t>
  </si>
  <si>
    <t>Northgate reserve</t>
  </si>
  <si>
    <t>Ferny Hills, Kylie Ave</t>
  </si>
  <si>
    <t>Stafford, Sparkes Hill</t>
  </si>
  <si>
    <t>North Stradbroke Island, Point Lookout</t>
  </si>
  <si>
    <t>Oakey - Campbell St</t>
  </si>
  <si>
    <t>Wynnum Creek</t>
  </si>
  <si>
    <t xml:space="preserve">Hemmant, Lytton Road </t>
  </si>
  <si>
    <t>Highfields, Jackson Close</t>
  </si>
  <si>
    <t>Murphys Creek</t>
  </si>
  <si>
    <t>Lota, Wynnum Hospital</t>
  </si>
  <si>
    <t>Lowood (Camp 2) Water Tower</t>
  </si>
  <si>
    <t>Indooroopilly Island</t>
  </si>
  <si>
    <t>Cleveland, Kooringa Avenue</t>
  </si>
  <si>
    <t>Helidon, Gunn Street</t>
  </si>
  <si>
    <t>Toowoomba (Redwood Park)</t>
  </si>
  <si>
    <t>Gatton, Amaroo Retirement Village, Tenthill Creek</t>
  </si>
  <si>
    <t>Coopers Plains, Beryl Roberts Park, Barham St</t>
  </si>
  <si>
    <t>Chuwar, Brodzig Road</t>
  </si>
  <si>
    <t>MacGregor, Freesia Street</t>
  </si>
  <si>
    <t xml:space="preserve">Coochiemudlo Island </t>
  </si>
  <si>
    <t>Victoria Point, Egret Drive</t>
  </si>
  <si>
    <t>Macleay Island, Balaka Street</t>
  </si>
  <si>
    <t xml:space="preserve">Redbank (Pan Pacific Peace Garden) </t>
  </si>
  <si>
    <t>Toowoomba, Spring Street</t>
  </si>
  <si>
    <t>Springwood, Parfrey Road</t>
  </si>
  <si>
    <t>Macleay Island</t>
  </si>
  <si>
    <t>Ellen Grove, Waterford Rd</t>
  </si>
  <si>
    <t>Redland Bay, Pitt St</t>
  </si>
  <si>
    <t>Underwood, Nevilles St</t>
  </si>
  <si>
    <t>Redland Bay, Weinam Creek Wetlands (Moores Rd)</t>
  </si>
  <si>
    <t>Macleay Island, Gordon Road</t>
  </si>
  <si>
    <t>Calamvale, Gloden Ave</t>
  </si>
  <si>
    <t>Lamb Island</t>
  </si>
  <si>
    <t xml:space="preserve">Slacks Creek, Meakin Park </t>
  </si>
  <si>
    <t>Redland Bay, Junee Street Wetlands</t>
  </si>
  <si>
    <t>Logan Central, Bardon and Wembley Rds</t>
  </si>
  <si>
    <t>Russell Island, Douglas Street</t>
  </si>
  <si>
    <t>Redbank Plains, Phillip Street</t>
  </si>
  <si>
    <t>Regents Park, Emerald Drive</t>
  </si>
  <si>
    <t>Boronia Heights, Warana Ct</t>
  </si>
  <si>
    <t>Mount Warren Park - Yvonne Cr.</t>
  </si>
  <si>
    <t>Pimpama, Mirambeena Drive</t>
  </si>
  <si>
    <t>Undulluh, Homestead Drive (Flagstone)</t>
  </si>
  <si>
    <t>Upper Coomera, Heathwood Drive</t>
  </si>
  <si>
    <t>Cedar Vale, Banksia Court</t>
  </si>
  <si>
    <t>Helensvale, Lillypilly Court</t>
  </si>
  <si>
    <t>Labrador, Government Rd</t>
  </si>
  <si>
    <t xml:space="preserve">Southport, Loders Creek </t>
  </si>
  <si>
    <t>Southport, Akes Avenue</t>
  </si>
  <si>
    <t>Surfers Paradise, Macintosh Island</t>
  </si>
  <si>
    <t>Boonah, Bicentenial Park</t>
  </si>
  <si>
    <t>Southport Golf Club</t>
  </si>
  <si>
    <t>Surfers Paradise, Girung Island</t>
  </si>
  <si>
    <t>Cascade Gardens</t>
  </si>
  <si>
    <t>St George</t>
  </si>
  <si>
    <t xml:space="preserve">Allora (Dalrymple Creek) </t>
  </si>
  <si>
    <t>Broadbeach, Jupiters Casino</t>
  </si>
  <si>
    <t>Carrara, Gooding Drive</t>
  </si>
  <si>
    <t>Miami, Pizzey Drive</t>
  </si>
  <si>
    <t>Mudgeeraba, Tallai/Mudgeeraba Road</t>
  </si>
  <si>
    <t>Robina, Palmer Gold Coast Golf Course</t>
  </si>
  <si>
    <t>Tallai, Veronica Drive</t>
  </si>
  <si>
    <t>Kooralbyn (Routley Drive)</t>
  </si>
  <si>
    <t>Tallebudgera Creek</t>
  </si>
  <si>
    <t>Palm Beach, M1</t>
  </si>
  <si>
    <t>Beechmont, Gwingana Court</t>
  </si>
  <si>
    <t>Tweed Heads, The Anchorage</t>
  </si>
  <si>
    <t>Banora Point, Darlington Drive</t>
  </si>
  <si>
    <t>Warwick, Grafton Street</t>
  </si>
  <si>
    <t>Banora Point East, Elsie Street</t>
  </si>
  <si>
    <t>Banora Point, Toolona Ave</t>
  </si>
  <si>
    <t>Tweed Heads, Oxley Cove</t>
  </si>
  <si>
    <t>Tyalgum</t>
  </si>
  <si>
    <t>Ocean Shores, Marshalls Creek</t>
  </si>
  <si>
    <t>Ocean Shores</t>
  </si>
  <si>
    <t>Nimbin (Gungas Rd)</t>
  </si>
  <si>
    <t>Kyogle (McDougall st)</t>
  </si>
  <si>
    <t>Byron Bay</t>
  </si>
  <si>
    <t xml:space="preserve">Stanthorpe (Gleason Park - Quart Pot Ck) </t>
  </si>
  <si>
    <t>Booyong</t>
  </si>
  <si>
    <t>Bentley, Manifold Rd</t>
  </si>
  <si>
    <t>Ballina, Fishery Creek</t>
  </si>
  <si>
    <t>Dalwood 2</t>
  </si>
  <si>
    <t>Mallanganee</t>
  </si>
  <si>
    <t>Coraki</t>
  </si>
  <si>
    <t>North Woodburn</t>
  </si>
  <si>
    <t>Woodburn</t>
  </si>
  <si>
    <t>Iluka, Bolorobo Island</t>
  </si>
  <si>
    <t>Yamba Shores</t>
  </si>
  <si>
    <t>Copmanhurst</t>
  </si>
  <si>
    <t>Blair athol, Inverall</t>
  </si>
  <si>
    <t>Nymboida</t>
  </si>
  <si>
    <t>Narrabri</t>
  </si>
  <si>
    <t>Bellingen, Community garden</t>
  </si>
  <si>
    <t>Raleigh (McGearys Island)</t>
  </si>
  <si>
    <t>North Urunga (Kalang River)</t>
  </si>
  <si>
    <t>Urunga</t>
  </si>
  <si>
    <t>Bowraville</t>
  </si>
  <si>
    <t>Ingalba State Forest</t>
  </si>
  <si>
    <t>Red Hill</t>
  </si>
  <si>
    <t>North Red Head</t>
  </si>
  <si>
    <t>Narromine</t>
  </si>
  <si>
    <t xml:space="preserve">Muswellbrook (Muscle Creek) </t>
  </si>
  <si>
    <t>Glen Willliam</t>
  </si>
  <si>
    <t>Wellington Island, Macquarie River</t>
  </si>
  <si>
    <t>Schnapper Island</t>
  </si>
  <si>
    <t>Maitland - Hannan st</t>
  </si>
  <si>
    <t>Maitland, Lorn</t>
  </si>
  <si>
    <t>Medowie</t>
  </si>
  <si>
    <t>Bob's Farm</t>
  </si>
  <si>
    <t>Parkes, Kelly rd</t>
  </si>
  <si>
    <t>Gosford, Wingello Creek</t>
  </si>
  <si>
    <t>Woywoy, Everglades</t>
  </si>
  <si>
    <t>Umina Beach</t>
  </si>
  <si>
    <t>Kurnell</t>
  </si>
  <si>
    <t>Mittagong</t>
  </si>
  <si>
    <t>Mossvale</t>
  </si>
  <si>
    <t>Bomaderry Creek</t>
  </si>
  <si>
    <t>Nowra, Comerong Island</t>
  </si>
  <si>
    <t>Wagga Wagga</t>
  </si>
  <si>
    <t>Moruya Heads</t>
  </si>
  <si>
    <t>Albury Botanical Gardens</t>
  </si>
  <si>
    <t>Wodonga</t>
  </si>
  <si>
    <t>Kyabram Fauna Park</t>
  </si>
  <si>
    <t>Pambula</t>
  </si>
  <si>
    <t>Buchan, Buchan River</t>
  </si>
  <si>
    <t>HMAS Cerberus</t>
  </si>
  <si>
    <t>Lower Gellibrand</t>
  </si>
  <si>
    <t>Daintree Township</t>
  </si>
  <si>
    <t>Daintree - Egoitz</t>
  </si>
  <si>
    <t>Daintree Crossing</t>
  </si>
  <si>
    <t>Daintree ferry</t>
  </si>
  <si>
    <t>Daintree River</t>
  </si>
  <si>
    <t>Wonga Beach</t>
  </si>
  <si>
    <t>Newell Beach, Mossman River</t>
  </si>
  <si>
    <t>Port Douglas Sports</t>
  </si>
  <si>
    <t>Port Douglas, Crees creek</t>
  </si>
  <si>
    <t>Port Douglas, Downing st</t>
  </si>
  <si>
    <t>Julatten</t>
  </si>
  <si>
    <t>Clifton Beach, Onyx St</t>
  </si>
  <si>
    <t>Clifton Beach</t>
  </si>
  <si>
    <t>Kewarra Resort</t>
  </si>
  <si>
    <t>Yorkey's Knob</t>
  </si>
  <si>
    <t>Yorkeys Knob, Esplanade</t>
  </si>
  <si>
    <t>Kuranda</t>
  </si>
  <si>
    <t>Holloways</t>
  </si>
  <si>
    <t>Speewah</t>
  </si>
  <si>
    <t>Redlynch, Eugenia Cresent</t>
  </si>
  <si>
    <t>Brinsmead</t>
  </si>
  <si>
    <t>Brinsmead - Goombora Park</t>
  </si>
  <si>
    <t>Cairns Central Swamp, Woodward park</t>
  </si>
  <si>
    <t>Cairns Central Swamp, Endevour park</t>
  </si>
  <si>
    <t>Cairns Central Swamp, Anderson st</t>
  </si>
  <si>
    <t>Cairns, Murray st</t>
  </si>
  <si>
    <t>Cairns City</t>
  </si>
  <si>
    <t>Canon Park</t>
  </si>
  <si>
    <t>Mareeba</t>
  </si>
  <si>
    <t>Mareeba Hospital</t>
  </si>
  <si>
    <t>Mareeba, Swimming pool</t>
  </si>
  <si>
    <t>Mareeba, Stewart st</t>
  </si>
  <si>
    <t>Mareeba, Barron</t>
  </si>
  <si>
    <t>Bentley Park, Cliffdale st</t>
  </si>
  <si>
    <t>Edmonton, John Walker park</t>
  </si>
  <si>
    <t>Edmonton, Chay rd</t>
  </si>
  <si>
    <t>Gordonvale, Dajurra</t>
  </si>
  <si>
    <t>Gordonvale, Gillies</t>
  </si>
  <si>
    <t>Goldsborough</t>
  </si>
  <si>
    <t>Deeral Boat Ramp</t>
  </si>
  <si>
    <t>Lakeside</t>
  </si>
  <si>
    <t>Gadaloff Rd</t>
  </si>
  <si>
    <t>Eubanangee Swamp</t>
  </si>
  <si>
    <t>Innisfail Dump</t>
  </si>
  <si>
    <t>Innisfail - Webb rd</t>
  </si>
  <si>
    <t>Innisfail a</t>
  </si>
  <si>
    <t>Innisfail b</t>
  </si>
  <si>
    <t>Mungalli</t>
  </si>
  <si>
    <t>Whiteing Road</t>
  </si>
  <si>
    <t>Malan</t>
  </si>
  <si>
    <t>Paronella Park</t>
  </si>
  <si>
    <t>El Arish, Monash st</t>
  </si>
  <si>
    <t>El Arish, Golf course</t>
  </si>
  <si>
    <t>Feluga</t>
  </si>
  <si>
    <t>Tully heads</t>
  </si>
  <si>
    <t>Bilyana Rd</t>
  </si>
  <si>
    <t>Kennedy</t>
  </si>
  <si>
    <t>Cardwell-Parker st</t>
  </si>
  <si>
    <t>Cardwell behind golf course</t>
  </si>
  <si>
    <t>Broadwater State Forest</t>
  </si>
  <si>
    <t>Seymour river</t>
  </si>
  <si>
    <t>The Palmetum</t>
  </si>
  <si>
    <t>Black Currant Island</t>
  </si>
  <si>
    <t>Kelsey Creek</t>
  </si>
  <si>
    <t>Lindeman Island</t>
  </si>
  <si>
    <t>Fursden Creek</t>
  </si>
  <si>
    <t>Dysart</t>
  </si>
  <si>
    <t>Middlemount</t>
  </si>
  <si>
    <t>Gladstone West, Blain Drive</t>
  </si>
  <si>
    <t>Moore Park Beach</t>
  </si>
  <si>
    <t>Monto</t>
  </si>
  <si>
    <t>Bargara, Fairway Drive</t>
  </si>
  <si>
    <t>North Bundaberg, Queen St</t>
  </si>
  <si>
    <t>North Bundaberg, Hanbury Street</t>
  </si>
  <si>
    <t>North Bundaberg, Perry Street</t>
  </si>
  <si>
    <t>Innes Park, Logan Road</t>
  </si>
  <si>
    <t>Gaeta Road, Gaeta</t>
  </si>
  <si>
    <t>Theodore</t>
  </si>
  <si>
    <t>Hervey Bay, Gatakers bay</t>
  </si>
  <si>
    <t>Toogoom, Shellcot Street</t>
  </si>
  <si>
    <t>Dundowran, O'Reagans Creek CP</t>
  </si>
  <si>
    <t>Dundowran Beach, Ocean Park Drive, Petersons Park</t>
  </si>
  <si>
    <t>Dundowran, Jimilee Street</t>
  </si>
  <si>
    <t>Anembo Lakes, Torquay</t>
  </si>
  <si>
    <t>Sunshine Acres, Black Swamp Creek</t>
  </si>
  <si>
    <t>Maryborough, Saltwater Creek</t>
  </si>
  <si>
    <t xml:space="preserve">Tinana, Franklins Close </t>
  </si>
  <si>
    <t>Maryborough, Tinana Island,</t>
  </si>
  <si>
    <t>Mundubbera</t>
  </si>
  <si>
    <t>Gayndah, Brambah Ck</t>
  </si>
  <si>
    <t>Boonaroo Point, Maroom</t>
  </si>
  <si>
    <t>Tin Can Bay, Dinnies Ck</t>
  </si>
  <si>
    <t>Rainbow Beach, Inskip Peninsula</t>
  </si>
  <si>
    <t>Tin Can Bay, Snapper Point</t>
  </si>
  <si>
    <t>Rainbow Beach, Seary's Creek</t>
  </si>
  <si>
    <t>Neerdie, Power St.</t>
  </si>
  <si>
    <t>Murgon, Douglas Street</t>
  </si>
  <si>
    <t>Charleville (Warrego)</t>
  </si>
  <si>
    <t>Kingaroy, Mt. Wooloorin Reserve</t>
  </si>
  <si>
    <t xml:space="preserve">Coolum, Hyatt </t>
  </si>
  <si>
    <t>Nambour, Tallangatta St.</t>
  </si>
  <si>
    <t>Kuluin, Tallow Wood Drive</t>
  </si>
  <si>
    <t>Palmwoods, Kolora Park Bushland Conservation Reserve</t>
  </si>
  <si>
    <t>Maleny, Tesch Park</t>
  </si>
  <si>
    <t>Bellara, Warrigal Street</t>
  </si>
  <si>
    <t>Bongaree, Shirley Creek</t>
  </si>
  <si>
    <t>Surat</t>
  </si>
  <si>
    <t>Balonne River</t>
  </si>
  <si>
    <t>Burpengary</t>
  </si>
  <si>
    <t>Deception Bay, Bermuda Avenue</t>
  </si>
  <si>
    <t>Hampton, Wockner Rd</t>
  </si>
  <si>
    <t>Northgate, Carter Street</t>
  </si>
  <si>
    <t>Wynnum North, Meilandt Street</t>
  </si>
  <si>
    <t>Ashgrove, Banks Street Reserve</t>
  </si>
  <si>
    <t>Windsor, Enoggera creek</t>
  </si>
  <si>
    <t>Toowoomba, Crows Nest</t>
  </si>
  <si>
    <t>Brisbane Botanic Gardens Parliament House</t>
  </si>
  <si>
    <t>Wellington Point, Oconnell Parade</t>
  </si>
  <si>
    <t>Pine Mountain (Camerons Scrub/Sapling Pocket)</t>
  </si>
  <si>
    <t>Wellington Point, Crossley Drive</t>
  </si>
  <si>
    <t xml:space="preserve">Birkdale, Tarradarrapin </t>
  </si>
  <si>
    <t>Withcott</t>
  </si>
  <si>
    <t>Karana Downs, Kanangra Close</t>
  </si>
  <si>
    <t>Riverhills, Zambesi Street</t>
  </si>
  <si>
    <t>Thornlands, Lotus Court</t>
  </si>
  <si>
    <t xml:space="preserve">Toowoomba (Japanese Gardens/University)  </t>
  </si>
  <si>
    <t>Goodna, Woogaroo Creek</t>
  </si>
  <si>
    <t>Calamvale, Earnshaw St.</t>
  </si>
  <si>
    <t>Redland Bay, Orchard Beach Wetlands (The Boulevard</t>
  </si>
  <si>
    <t>Laidley, Whites Road</t>
  </si>
  <si>
    <t>Willowbank</t>
  </si>
  <si>
    <t>Regents Park - Bennets Drive</t>
  </si>
  <si>
    <t>Eagleby, Dreyer Road (Carbrook Golf Course)</t>
  </si>
  <si>
    <t>Brookstead, 1589 Pampas Horrane Rd</t>
  </si>
  <si>
    <t>Russell Island</t>
  </si>
  <si>
    <t>Pittsworth, Int. Campbell St &amp; Perham St</t>
  </si>
  <si>
    <t>Pittsworth, 1 Thomas Street</t>
  </si>
  <si>
    <t>Mount Berryman</t>
  </si>
  <si>
    <t>Pittsworth, Briggs Street</t>
  </si>
  <si>
    <t>Ormeau, Carob Court</t>
  </si>
  <si>
    <t>Peak Crossing, Flinders Peak</t>
  </si>
  <si>
    <t>Coombabah, Coombabah Creek</t>
  </si>
  <si>
    <t>Labrador, Norm Rix Park</t>
  </si>
  <si>
    <t xml:space="preserve">Arundal, Biggera Creek </t>
  </si>
  <si>
    <t>Keebra Park State High School</t>
  </si>
  <si>
    <t xml:space="preserve">Nerang, Bushmead Street </t>
  </si>
  <si>
    <t>Beaudesert, Lions Bicentennial Park</t>
  </si>
  <si>
    <t>Bundall, Gold Coast Turf Club</t>
  </si>
  <si>
    <t xml:space="preserve">Boonah - Mount French </t>
  </si>
  <si>
    <t>Nerang, Riverpark Dr.</t>
  </si>
  <si>
    <t>Surfers Paradise, Remembrance Drive</t>
  </si>
  <si>
    <t>Worongary, Worongary Road</t>
  </si>
  <si>
    <t>Burleigh Lake Park, Dunlin Drive</t>
  </si>
  <si>
    <t>Currumbin Valley, Coolamon</t>
  </si>
  <si>
    <t>Tweed Heads, Caddy's Island</t>
  </si>
  <si>
    <t>Tweed Heads, Davies Island</t>
  </si>
  <si>
    <t>Warwick - Dragon Street</t>
  </si>
  <si>
    <t>Rathdowney, John Street</t>
  </si>
  <si>
    <t>Hillview</t>
  </si>
  <si>
    <t>Warwick, Rockland Rd</t>
  </si>
  <si>
    <t>Tumbulgum, Stotts Island</t>
  </si>
  <si>
    <t>Dulguigan</t>
  </si>
  <si>
    <t>Nobbys Creek, Brooks Road</t>
  </si>
  <si>
    <t>Bogangar, Kauri Ave</t>
  </si>
  <si>
    <t>Killarney, Killarney State School</t>
  </si>
  <si>
    <t>Murwillumbah, Dallis Park 1</t>
  </si>
  <si>
    <t>Cherry Gully, Warwick</t>
  </si>
  <si>
    <t>Mount Warning</t>
  </si>
  <si>
    <t>Inglewood, Frey Street</t>
  </si>
  <si>
    <t>Mooball</t>
  </si>
  <si>
    <t>Blue Knob (Lillian Rock Rd)</t>
  </si>
  <si>
    <t>Goondiwindi (Macintyre River) Sandlewood St.</t>
  </si>
  <si>
    <t>Passchendaele SF</t>
  </si>
  <si>
    <t>Dirranbandi</t>
  </si>
  <si>
    <t>Nightcap National Park, Terania Creek</t>
  </si>
  <si>
    <t>Myocum</t>
  </si>
  <si>
    <t>Peter Finn</t>
  </si>
  <si>
    <t>Eureka Public School</t>
  </si>
  <si>
    <t>Dunoon (James Street)</t>
  </si>
  <si>
    <t>Larnook, (Cawongla Rd)</t>
  </si>
  <si>
    <t>Byron Bay, Coopers Shoot</t>
  </si>
  <si>
    <t>Richmond Hill, Bangalow Rd, Boatharbour Nature Reserve</t>
  </si>
  <si>
    <t>North Lismore, Currie Park</t>
  </si>
  <si>
    <t>Alstonville, Maguires Creek</t>
  </si>
  <si>
    <t>East Lismore, Wilson Park Nature Reserve</t>
  </si>
  <si>
    <t>Tregeagle, Mollys Grass Rd</t>
  </si>
  <si>
    <t>East Ballina</t>
  </si>
  <si>
    <t>Alstonville, Davis Scrub</t>
  </si>
  <si>
    <t>Wardell, Meerschaum Rd</t>
  </si>
  <si>
    <t>Tuckean</t>
  </si>
  <si>
    <t>Wardell, Goat Island</t>
  </si>
  <si>
    <t>Mount Pikapene</t>
  </si>
  <si>
    <t>Bundjalung National Park, Olive Gap</t>
  </si>
  <si>
    <t>Whiporie (2002)</t>
  </si>
  <si>
    <t>Whiporie</t>
  </si>
  <si>
    <t>Woombah, Esk River</t>
  </si>
  <si>
    <t>Yamba (Warregah Island)</t>
  </si>
  <si>
    <t>Yamba (Woolbin Island)</t>
  </si>
  <si>
    <t>Yamba (Fishers Lane Island)</t>
  </si>
  <si>
    <t>Yamba, Sleeper Island</t>
  </si>
  <si>
    <t>Yamba, Thorny Island</t>
  </si>
  <si>
    <t>Yamba, Whyna Island</t>
  </si>
  <si>
    <t>Maclean, Ulgundahi Island</t>
  </si>
  <si>
    <t>Ashby</t>
  </si>
  <si>
    <t>Yaegl Nature Reserve</t>
  </si>
  <si>
    <t>Lawrence</t>
  </si>
  <si>
    <t>Sandon</t>
  </si>
  <si>
    <t>Mt Russell</t>
  </si>
  <si>
    <t>Glenugie</t>
  </si>
  <si>
    <t>Nymboida State Forest, Doughboy Road</t>
  </si>
  <si>
    <t>Inverell</t>
  </si>
  <si>
    <t>Glenugie, eight mile lane</t>
  </si>
  <si>
    <t>Ramornie State Forest</t>
  </si>
  <si>
    <t>Wooli Town</t>
  </si>
  <si>
    <t>Wooli River</t>
  </si>
  <si>
    <t>Woolgoolga, Bark Hut Road</t>
  </si>
  <si>
    <t>Sandy Beach</t>
  </si>
  <si>
    <t>Coramba</t>
  </si>
  <si>
    <t>Moonee Creek</t>
  </si>
  <si>
    <t>Bruxner Park</t>
  </si>
  <si>
    <t>Abington</t>
  </si>
  <si>
    <t>Boambee, Englands Rd</t>
  </si>
  <si>
    <t>Barraba</t>
  </si>
  <si>
    <t>Bonville Creek</t>
  </si>
  <si>
    <t>Pine Creek</t>
  </si>
  <si>
    <t>Yarrowyck</t>
  </si>
  <si>
    <t>Urunga (Yellow Rock)</t>
  </si>
  <si>
    <t>Macksville Golf course</t>
  </si>
  <si>
    <t>Bellbrook</t>
  </si>
  <si>
    <t>Bendemeer</t>
  </si>
  <si>
    <t>Clybucca</t>
  </si>
  <si>
    <t>Kempsey, Deep Creek</t>
  </si>
  <si>
    <t>Kempsey, Jocks Crossing</t>
  </si>
  <si>
    <t>Aldavilla</t>
  </si>
  <si>
    <t>Kempsey, Crescent Head Road</t>
  </si>
  <si>
    <t>Crescent Head</t>
  </si>
  <si>
    <t>Woolomin</t>
  </si>
  <si>
    <t>Telegraph Point, Maria River</t>
  </si>
  <si>
    <t>Sea Acres</t>
  </si>
  <si>
    <t>Queens Lake</t>
  </si>
  <si>
    <t>Dunbogan</t>
  </si>
  <si>
    <t>Moorland</t>
  </si>
  <si>
    <t>Kiwarrak</t>
  </si>
  <si>
    <t>Scone</t>
  </si>
  <si>
    <t>Aberdeen</t>
  </si>
  <si>
    <t>Dubbo, Victoria Park</t>
  </si>
  <si>
    <t>Monkerai</t>
  </si>
  <si>
    <t>Elizabeth Beach</t>
  </si>
  <si>
    <t>Bulahdelah, Boolambayte Creek</t>
  </si>
  <si>
    <t>Mammy Johnson, Stroud Rd</t>
  </si>
  <si>
    <t>Stroud</t>
  </si>
  <si>
    <t>Mount Richardson</t>
  </si>
  <si>
    <t>The Branch</t>
  </si>
  <si>
    <t>Singleton (Lamb Valley)</t>
  </si>
  <si>
    <t>Singleton, Cranky Corner</t>
  </si>
  <si>
    <t>Tamboi</t>
  </si>
  <si>
    <t>Clarence Town</t>
  </si>
  <si>
    <t>Paterson</t>
  </si>
  <si>
    <t>Wallaroo National Park, Italia Road</t>
  </si>
  <si>
    <t>Anna Bay</t>
  </si>
  <si>
    <t>Tomago, Fullerton Cove</t>
  </si>
  <si>
    <t>Stockrington, Black Hill</t>
  </si>
  <si>
    <t>Millfield</t>
  </si>
  <si>
    <t>Glenrock</t>
  </si>
  <si>
    <t>Martinsville</t>
  </si>
  <si>
    <t>Belmont</t>
  </si>
  <si>
    <t>Molong</t>
  </si>
  <si>
    <t>Jilliby</t>
  </si>
  <si>
    <t>Orange, Dairy Creek</t>
  </si>
  <si>
    <t>Portland</t>
  </si>
  <si>
    <t>Matcham</t>
  </si>
  <si>
    <t>Emu Plains (2007)</t>
  </si>
  <si>
    <t>Penrith</t>
  </si>
  <si>
    <t>Sydney Botanic Gardens</t>
  </si>
  <si>
    <t>Menai</t>
  </si>
  <si>
    <t>Menangle</t>
  </si>
  <si>
    <t>Bulli</t>
  </si>
  <si>
    <t>Young</t>
  </si>
  <si>
    <t>Woonona</t>
  </si>
  <si>
    <t>Balgownie</t>
  </si>
  <si>
    <t>Mount Kembla</t>
  </si>
  <si>
    <t>Jamberoo</t>
  </si>
  <si>
    <t>Wattamolla</t>
  </si>
  <si>
    <t>Tomerong</t>
  </si>
  <si>
    <t>Booderee Botanic Gardens</t>
  </si>
  <si>
    <t>Lake Gininderra</t>
  </si>
  <si>
    <t>Tarcutta</t>
  </si>
  <si>
    <t>Budawang National Park, Currockbilly</t>
  </si>
  <si>
    <t>Nelligen Creek</t>
  </si>
  <si>
    <t>Moruya, Beashels Trig</t>
  </si>
  <si>
    <t>Nathalia</t>
  </si>
  <si>
    <t>Bermagui</t>
  </si>
  <si>
    <t>Chinnock</t>
  </si>
  <si>
    <t>Candelo</t>
  </si>
  <si>
    <t>Pandoola (Pambula wetlands)</t>
  </si>
  <si>
    <t>Pambula South</t>
  </si>
  <si>
    <t>Seymour, Kings Park</t>
  </si>
  <si>
    <t>Croajingolong National Park, Dowell Creek</t>
  </si>
  <si>
    <t>Cann River</t>
  </si>
  <si>
    <t>Bacchus Marsh, Long Forest</t>
  </si>
  <si>
    <t>Murrungowar, Palms Track</t>
  </si>
  <si>
    <t>Kalimna, Seaview Parade</t>
  </si>
  <si>
    <t>Upper Maffra West</t>
  </si>
  <si>
    <t>Raw GHFF</t>
  </si>
  <si>
    <t>Cairns Villas</t>
  </si>
  <si>
    <t>Earlville, Henley st</t>
  </si>
  <si>
    <t>Edmonton, Fretwell Park</t>
  </si>
  <si>
    <t>Edmonton, Bruce Hwy</t>
  </si>
  <si>
    <t>Gordonvale, Golf course</t>
  </si>
  <si>
    <t>Aloomba</t>
  </si>
  <si>
    <t>Mulgrave</t>
  </si>
  <si>
    <t>Coorumba</t>
  </si>
  <si>
    <t>Rockhampton, Botanic Gardens</t>
  </si>
  <si>
    <t>Gladstone, Sandpiper Park</t>
  </si>
  <si>
    <t>Dingo</t>
  </si>
  <si>
    <t>Tannum Sands, Turtle Way</t>
  </si>
  <si>
    <t>Tannum Sands, Canoe Point</t>
  </si>
  <si>
    <t>Tannum Sands, Curlew Park</t>
  </si>
  <si>
    <t>Miriam Vale, Bates Street</t>
  </si>
  <si>
    <t>Moura, Saleyards Road</t>
  </si>
  <si>
    <t>Childers, Gorries Road</t>
  </si>
  <si>
    <t>Craignish, Edgewater Court</t>
  </si>
  <si>
    <t>Arkarra Lagoons</t>
  </si>
  <si>
    <t>Munduberra spillover</t>
  </si>
  <si>
    <t>Granville, Banana Street</t>
  </si>
  <si>
    <t>Mundubberra Sawmill</t>
  </si>
  <si>
    <t>Cooloola Cove</t>
  </si>
  <si>
    <t>Nangur NP, Goomeribong Road</t>
  </si>
  <si>
    <t>Gympie, Commisioners gully</t>
  </si>
  <si>
    <t>Imbil, Yabba ck</t>
  </si>
  <si>
    <t>Chinchilla, Charleys Creek Bridge</t>
  </si>
  <si>
    <t>Chinchilla, 24 Beutel St</t>
  </si>
  <si>
    <t>Jandowea, Dalby St</t>
  </si>
  <si>
    <t>Blackbutt, Taromeo Creek</t>
  </si>
  <si>
    <t>Bell, Cody Street</t>
  </si>
  <si>
    <t>Ningi, Cocos Drive</t>
  </si>
  <si>
    <t>Sandstone Point, Myora Pl Park</t>
  </si>
  <si>
    <t>Morayfield, Kirkcandy St</t>
  </si>
  <si>
    <t>Beachmere, Sports Complex</t>
  </si>
  <si>
    <t>Beachmere, Margaret Street</t>
  </si>
  <si>
    <t>Beachmere, Beachmere Road</t>
  </si>
  <si>
    <t>Morayfield, Adelong Court Park</t>
  </si>
  <si>
    <t>Burpengary, Progress Road</t>
  </si>
  <si>
    <t>Burpengary, Facer Road</t>
  </si>
  <si>
    <t>Deception Bay, Trinidad Terrace</t>
  </si>
  <si>
    <t>Nerangba Settlement Dr</t>
  </si>
  <si>
    <t>Deception Bay, Park Rd, Stamp St</t>
  </si>
  <si>
    <t>Deception Bay, Bailey Road</t>
  </si>
  <si>
    <t>Dayboro, Terrors Creek</t>
  </si>
  <si>
    <t>Scarborough, Central Avenue</t>
  </si>
  <si>
    <t>Rothwell, Conan Street</t>
  </si>
  <si>
    <t>Kallangur, Ross Reserve</t>
  </si>
  <si>
    <t>Mount Mee</t>
  </si>
  <si>
    <t>Kallangur, Dohles Rocks Road</t>
  </si>
  <si>
    <t>Balmoral, Myuna Streeet</t>
  </si>
  <si>
    <t>Petrie, Sweeny Reserve</t>
  </si>
  <si>
    <t>Highvale</t>
  </si>
  <si>
    <t>Samford Valley, Greenwood Crescent Park</t>
  </si>
  <si>
    <t>Samford, Eastwood Place</t>
  </si>
  <si>
    <t>Highvale, Allan Smith Park</t>
  </si>
  <si>
    <t>Ferny Hills, Wightman Reserve</t>
  </si>
  <si>
    <t>Camira, Stephen Cook Memorial Park</t>
  </si>
  <si>
    <t>Arana Hills, William Scott Park</t>
  </si>
  <si>
    <t>Camp Mountain, Richards Rd</t>
  </si>
  <si>
    <t>Arana Hills, Jane St</t>
  </si>
  <si>
    <t>Ferny Hills, Brook Reserve</t>
  </si>
  <si>
    <t>Herston, Enoggera Creek</t>
  </si>
  <si>
    <t>Lindum, Kianawah Rd.</t>
  </si>
  <si>
    <t>Birkdale, Collingwood Rd</t>
  </si>
  <si>
    <t>UQ Gardens</t>
  </si>
  <si>
    <t>Tarragindi Recreation Reserve</t>
  </si>
  <si>
    <t>Edenbrooke</t>
  </si>
  <si>
    <t>Helidon State School</t>
  </si>
  <si>
    <t>Victoria Point, Peppercorn Crescent</t>
  </si>
  <si>
    <t>Doolandella, Numbat Place</t>
  </si>
  <si>
    <t>Rosewood, John Street Reserve (Masons Gully)</t>
  </si>
  <si>
    <t>Camira, Langley Road</t>
  </si>
  <si>
    <t>Crestmead, 167 Magnesium Drive</t>
  </si>
  <si>
    <t>Bonogin Conservation Area</t>
  </si>
  <si>
    <t>Burleigh, Marymount College</t>
  </si>
  <si>
    <t>Varsity Lakes Wetlands</t>
  </si>
  <si>
    <t>Elanora, Casuarina Dr</t>
  </si>
  <si>
    <t>Warwick - Canning Street</t>
  </si>
  <si>
    <t>Chillingham</t>
  </si>
  <si>
    <t>Murwillubah, Lundberg Drive</t>
  </si>
  <si>
    <t>Murwillumbah , Tree St</t>
  </si>
  <si>
    <t>Stokers Siding</t>
  </si>
  <si>
    <t>Lennox head</t>
  </si>
  <si>
    <t>West Ballina</t>
  </si>
  <si>
    <t>Grafton, Victoria St</t>
  </si>
  <si>
    <t>Nana Glen</t>
  </si>
  <si>
    <t>Wauchope</t>
  </si>
  <si>
    <t>Singleton, Hunter river</t>
  </si>
  <si>
    <t>Jean Shaw Koala reserve</t>
  </si>
  <si>
    <t>Windsor</t>
  </si>
  <si>
    <t>Thirroul</t>
  </si>
  <si>
    <t>Dapto, Brooks Creek</t>
  </si>
  <si>
    <t>Berry, Kentia Cres</t>
  </si>
  <si>
    <t>Huskisson</t>
  </si>
  <si>
    <t>Queanbeyan</t>
  </si>
  <si>
    <t>Broulee</t>
  </si>
  <si>
    <t>Dalmeny</t>
  </si>
  <si>
    <t>Mount Beauty</t>
  </si>
  <si>
    <t>Mount Burr</t>
  </si>
  <si>
    <t>Warburton, Redwood walk</t>
  </si>
  <si>
    <t>Hexham</t>
  </si>
  <si>
    <t>Colac</t>
  </si>
  <si>
    <t>Aloomba, Vohlund rd</t>
  </si>
  <si>
    <t>Palm Way, Brennan Park</t>
  </si>
  <si>
    <t>Tiaro</t>
  </si>
  <si>
    <t>Kuluin, MacArthur Park</t>
  </si>
  <si>
    <t>Samford Valley, Cosgrove Road</t>
  </si>
  <si>
    <t>Salisbury, Kellett Road Park</t>
  </si>
  <si>
    <t>Thornlands, Morris Circuit</t>
  </si>
  <si>
    <t>Grafton, Peanut Island</t>
  </si>
  <si>
    <t>Manilla</t>
  </si>
  <si>
    <t>Nowra Hill</t>
  </si>
  <si>
    <t>Orbost, Orbost lagoon</t>
  </si>
  <si>
    <t>Warrugal, Brooker Park</t>
  </si>
  <si>
    <t>Leongatha, Johnson st</t>
  </si>
  <si>
    <t>Nov 2012</t>
  </si>
  <si>
    <t>Feb 2022</t>
  </si>
  <si>
    <t>May 2022</t>
  </si>
  <si>
    <t>Aug 2022</t>
  </si>
  <si>
    <t>Feb 2013</t>
  </si>
  <si>
    <t>May 2013</t>
  </si>
  <si>
    <t>Aug 2013</t>
  </si>
  <si>
    <t>Nov 2013</t>
  </si>
  <si>
    <t>Feb 2014</t>
  </si>
  <si>
    <t>May 2014</t>
  </si>
  <si>
    <t>Aug 2014</t>
  </si>
  <si>
    <t>Nov 2014</t>
  </si>
  <si>
    <t>Feb 2015</t>
  </si>
  <si>
    <t>May 2015</t>
  </si>
  <si>
    <t>Aug 2015</t>
  </si>
  <si>
    <t>Nov 2015</t>
  </si>
  <si>
    <t>Feb 2016</t>
  </si>
  <si>
    <t>May 2016</t>
  </si>
  <si>
    <t>Aug 2016</t>
  </si>
  <si>
    <t>Nov 2016</t>
  </si>
  <si>
    <t>Feb 2017</t>
  </si>
  <si>
    <t>May 2017</t>
  </si>
  <si>
    <t>Aug 2017</t>
  </si>
  <si>
    <t>Nov 2017</t>
  </si>
  <si>
    <t>Feb 2018</t>
  </si>
  <si>
    <t>May 2018</t>
  </si>
  <si>
    <t>Aug 2018</t>
  </si>
  <si>
    <t>Nov 2018</t>
  </si>
  <si>
    <t>Feb 2019</t>
  </si>
  <si>
    <t>May 2019</t>
  </si>
  <si>
    <t>Aug 2019</t>
  </si>
  <si>
    <t>Nov 2019</t>
  </si>
  <si>
    <t>Feb 2020</t>
  </si>
  <si>
    <t>May 2020</t>
  </si>
  <si>
    <t>Aug 2020</t>
  </si>
  <si>
    <t>Nov 2020</t>
  </si>
  <si>
    <t>Feb 2021</t>
  </si>
  <si>
    <t>May 2021</t>
  </si>
  <si>
    <t>Aug 2021</t>
  </si>
  <si>
    <t>Nov 2021</t>
  </si>
  <si>
    <t>Camps counted GHFF present</t>
  </si>
  <si>
    <t>Inala, Lilac Street</t>
  </si>
  <si>
    <t>Toogoolawah, Cressbrook Creek</t>
  </si>
  <si>
    <t>Raw numbers</t>
  </si>
  <si>
    <t>Model</t>
  </si>
  <si>
    <t>95Upr</t>
  </si>
  <si>
    <t>95Lwr</t>
  </si>
  <si>
    <t>Median</t>
  </si>
  <si>
    <t>Mar 1989</t>
  </si>
  <si>
    <t>Jul 1998</t>
  </si>
  <si>
    <t>Apr 1999</t>
  </si>
  <si>
    <t>Apr 2001</t>
  </si>
  <si>
    <t>Jul 2002</t>
  </si>
  <si>
    <t>Apr 2003</t>
  </si>
  <si>
    <t>Apr 2004</t>
  </si>
  <si>
    <t>May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</si>
</sst>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4" fillId="0" borderId="0"/>
  </cellStyleXfs>
  <cellXfs count="16">
    <xf numFmtId="0" fontId="0" fillId="0" borderId="0" xfId="0"/>
    <xf numFmtId="164" fontId="2" fillId="2" borderId="1" xfId="1" applyNumberFormat="1" applyFont="1" applyFill="1" applyBorder="1" applyAlignment="1">
      <alignment horizontal="center" vertical="top" textRotation="180"/>
    </xf>
    <xf numFmtId="0" fontId="0" fillId="3" borderId="0" xfId="0" applyFill="1"/>
    <xf numFmtId="0" fontId="0" fillId="0" borderId="0" xfId="0" applyAlignment="1">
      <alignment vertical="center"/>
    </xf>
    <xf numFmtId="0" fontId="1" fillId="3" borderId="0" xfId="2" applyFill="1"/>
    <xf numFmtId="0" fontId="2" fillId="3" borderId="0" xfId="2" applyFont="1" applyFill="1" applyAlignment="1">
      <alignment horizontal="right" wrapText="1"/>
    </xf>
    <xf numFmtId="0" fontId="2" fillId="2" borderId="0" xfId="2" applyFont="1" applyFill="1" applyAlignment="1">
      <alignment horizontal="center"/>
    </xf>
    <xf numFmtId="164" fontId="2" fillId="3" borderId="0" xfId="1" applyNumberFormat="1" applyFont="1" applyFill="1" applyAlignment="1">
      <alignment horizontal="center" vertical="top"/>
    </xf>
    <xf numFmtId="0" fontId="2" fillId="0" borderId="0" xfId="2" applyFont="1" applyAlignment="1">
      <alignment horizontal="right" wrapText="1"/>
    </xf>
    <xf numFmtId="0" fontId="2" fillId="0" borderId="0" xfId="2" applyFont="1" applyAlignment="1">
      <alignment wrapText="1"/>
    </xf>
    <xf numFmtId="0" fontId="0" fillId="0" borderId="0" xfId="0" applyFill="1"/>
    <xf numFmtId="1" fontId="0" fillId="0" borderId="0" xfId="0" applyNumberFormat="1" applyFill="1"/>
    <xf numFmtId="164" fontId="2" fillId="0" borderId="1" xfId="1" quotePrefix="1" applyNumberFormat="1" applyFont="1" applyFill="1" applyBorder="1" applyAlignment="1">
      <alignment horizontal="left" vertical="top" textRotation="180"/>
    </xf>
    <xf numFmtId="164" fontId="2" fillId="0" borderId="1" xfId="1" applyNumberFormat="1" applyFont="1" applyFill="1" applyBorder="1" applyAlignment="1">
      <alignment horizontal="left" vertical="top" textRotation="180"/>
    </xf>
    <xf numFmtId="164" fontId="2" fillId="0" borderId="1" xfId="1" applyNumberFormat="1" applyFont="1" applyFill="1" applyBorder="1" applyAlignment="1">
      <alignment horizontal="center" vertical="top" textRotation="180"/>
    </xf>
    <xf numFmtId="0" fontId="3" fillId="0" borderId="0" xfId="3" applyFont="1" applyFill="1" applyAlignment="1">
      <alignment wrapText="1"/>
    </xf>
  </cellXfs>
  <cellStyles count="4">
    <cellStyle name="Normal" xfId="0" builtinId="0"/>
    <cellStyle name="Normal_GHFF" xfId="1" xr:uid="{8C544084-02AA-49F9-87D0-2B84C8CB5035}"/>
    <cellStyle name="Normal_Sheet1" xfId="2" xr:uid="{E3AD739C-CB7A-431B-9B21-C31E232E10A4}"/>
    <cellStyle name="Normal_Sheet3" xfId="3" xr:uid="{6FE1F0B6-9272-41B4-AC4B-55B0EEB2C606}"/>
  </cellStyles>
  <dxfs count="0"/>
  <tableStyles count="0" defaultTableStyle="TableStyleMedium2" defaultPivotStyle="PivotStyleLight16"/>
  <colors>
    <mruColors>
      <color rgb="FFF093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A0D0-20AF-4375-9A04-FD53DD1F3CC9}">
  <dimension ref="A1:AT751"/>
  <sheetViews>
    <sheetView workbookViewId="0">
      <pane xSplit="4" ySplit="1" topLeftCell="E733" activePane="bottomRight" state="frozen"/>
      <selection pane="topRight" activeCell="E1" sqref="E1"/>
      <selection pane="bottomLeft" activeCell="A4" sqref="A4"/>
      <selection pane="bottomRight" activeCell="A751" sqref="A751"/>
    </sheetView>
  </sheetViews>
  <sheetFormatPr defaultColWidth="9.140625" defaultRowHeight="15" x14ac:dyDescent="0.25"/>
  <cols>
    <col min="2" max="2" width="13.28515625" customWidth="1"/>
    <col min="5" max="23" width="9.140625" customWidth="1"/>
  </cols>
  <sheetData>
    <row r="1" spans="1:44" s="3" customFormat="1" ht="52.5" customHeight="1" x14ac:dyDescent="0.25">
      <c r="A1" s="3" t="s">
        <v>0</v>
      </c>
      <c r="B1" s="3" t="s">
        <v>1</v>
      </c>
      <c r="C1" s="3" t="s">
        <v>3</v>
      </c>
      <c r="D1" s="3" t="s">
        <v>4</v>
      </c>
      <c r="E1" s="1">
        <v>41214</v>
      </c>
      <c r="F1" s="1">
        <v>41306</v>
      </c>
      <c r="G1" s="1">
        <v>41395</v>
      </c>
      <c r="H1" s="1">
        <v>41487</v>
      </c>
      <c r="I1" s="1">
        <v>41579</v>
      </c>
      <c r="J1" s="1">
        <v>41671</v>
      </c>
      <c r="K1" s="1">
        <v>41760</v>
      </c>
      <c r="L1" s="1">
        <v>41852</v>
      </c>
      <c r="M1" s="1">
        <v>41944</v>
      </c>
      <c r="N1" s="1">
        <v>42036</v>
      </c>
      <c r="O1" s="1">
        <v>42125</v>
      </c>
      <c r="P1" s="1">
        <v>42217</v>
      </c>
      <c r="Q1" s="1">
        <v>42309</v>
      </c>
      <c r="R1" s="1">
        <v>42401</v>
      </c>
      <c r="S1" s="1">
        <v>42491</v>
      </c>
      <c r="T1" s="1">
        <v>42583</v>
      </c>
      <c r="U1" s="1">
        <v>42675</v>
      </c>
      <c r="V1" s="1">
        <v>42767</v>
      </c>
      <c r="W1" s="1">
        <v>42856</v>
      </c>
      <c r="X1" s="1">
        <v>42948</v>
      </c>
      <c r="Y1" s="1">
        <v>43040</v>
      </c>
      <c r="Z1" s="1">
        <v>43132</v>
      </c>
      <c r="AA1" s="1">
        <v>43221</v>
      </c>
      <c r="AB1" s="1">
        <v>43313</v>
      </c>
      <c r="AC1" s="1">
        <v>43405</v>
      </c>
      <c r="AD1" s="1">
        <v>43497</v>
      </c>
      <c r="AE1" s="1">
        <v>43586</v>
      </c>
      <c r="AF1" s="1">
        <v>43678</v>
      </c>
      <c r="AG1" s="1">
        <v>43770</v>
      </c>
      <c r="AH1" s="1">
        <v>43862</v>
      </c>
      <c r="AI1" s="1">
        <v>43952</v>
      </c>
      <c r="AJ1" s="1">
        <v>44044</v>
      </c>
      <c r="AK1" s="1">
        <v>44136</v>
      </c>
      <c r="AL1" s="1">
        <v>44228</v>
      </c>
      <c r="AM1" s="1">
        <v>44317</v>
      </c>
      <c r="AN1" s="1">
        <v>44409</v>
      </c>
      <c r="AO1" s="1">
        <v>44501</v>
      </c>
      <c r="AP1" s="1">
        <v>44593</v>
      </c>
      <c r="AQ1" s="1">
        <v>44682</v>
      </c>
      <c r="AR1" s="1">
        <v>44774</v>
      </c>
    </row>
    <row r="2" spans="1:44" x14ac:dyDescent="0.25">
      <c r="A2">
        <v>558</v>
      </c>
      <c r="B2" t="s">
        <v>76</v>
      </c>
      <c r="C2">
        <v>-18.650984999999999</v>
      </c>
      <c r="D2">
        <v>146.159302</v>
      </c>
      <c r="E2">
        <v>600</v>
      </c>
      <c r="F2">
        <v>500</v>
      </c>
      <c r="G2">
        <v>360</v>
      </c>
      <c r="H2">
        <v>80</v>
      </c>
      <c r="I2">
        <v>160</v>
      </c>
      <c r="J2">
        <v>400</v>
      </c>
      <c r="K2">
        <v>630</v>
      </c>
      <c r="M2">
        <v>500</v>
      </c>
      <c r="N2">
        <v>400</v>
      </c>
      <c r="P2">
        <v>0</v>
      </c>
      <c r="Q2">
        <v>100</v>
      </c>
      <c r="R2">
        <v>200</v>
      </c>
      <c r="S2">
        <v>100</v>
      </c>
      <c r="T2">
        <v>150</v>
      </c>
      <c r="U2">
        <v>50</v>
      </c>
      <c r="V2">
        <v>350</v>
      </c>
      <c r="W2">
        <v>100</v>
      </c>
      <c r="X2">
        <v>200</v>
      </c>
      <c r="Y2">
        <v>50</v>
      </c>
      <c r="Z2">
        <v>200</v>
      </c>
      <c r="AA2">
        <v>0</v>
      </c>
      <c r="AB2">
        <v>0</v>
      </c>
      <c r="AC2">
        <v>20</v>
      </c>
      <c r="AD2">
        <v>0</v>
      </c>
      <c r="AE2">
        <v>200</v>
      </c>
      <c r="AF2">
        <v>250</v>
      </c>
      <c r="AG2">
        <v>450</v>
      </c>
      <c r="AH2">
        <v>300</v>
      </c>
      <c r="AK2">
        <v>0</v>
      </c>
      <c r="AO2">
        <v>0</v>
      </c>
    </row>
    <row r="3" spans="1:44" x14ac:dyDescent="0.25">
      <c r="A3">
        <v>343</v>
      </c>
      <c r="B3" t="s">
        <v>77</v>
      </c>
      <c r="C3">
        <v>-21.0808</v>
      </c>
      <c r="D3">
        <v>148.63470000000001</v>
      </c>
      <c r="F3">
        <v>50</v>
      </c>
      <c r="M3">
        <v>0</v>
      </c>
      <c r="N3">
        <v>50</v>
      </c>
      <c r="O3">
        <v>30</v>
      </c>
      <c r="R3">
        <v>0</v>
      </c>
      <c r="T3">
        <v>25</v>
      </c>
      <c r="V3">
        <v>50</v>
      </c>
      <c r="X3">
        <v>9</v>
      </c>
      <c r="AA3">
        <v>30</v>
      </c>
      <c r="AB3">
        <v>30</v>
      </c>
      <c r="AE3">
        <v>30</v>
      </c>
      <c r="AF3">
        <v>0</v>
      </c>
      <c r="AG3">
        <v>125</v>
      </c>
      <c r="AH3">
        <v>2000</v>
      </c>
      <c r="AK3">
        <v>20</v>
      </c>
      <c r="AO3">
        <v>10</v>
      </c>
      <c r="AP3">
        <v>40</v>
      </c>
      <c r="AQ3">
        <v>40</v>
      </c>
    </row>
    <row r="4" spans="1:44" x14ac:dyDescent="0.25">
      <c r="A4">
        <v>340</v>
      </c>
      <c r="B4" t="s">
        <v>245</v>
      </c>
      <c r="C4">
        <v>-21.1358</v>
      </c>
      <c r="D4">
        <v>148.49199999999999</v>
      </c>
      <c r="M4">
        <v>0</v>
      </c>
      <c r="N4">
        <v>0</v>
      </c>
      <c r="O4">
        <v>0</v>
      </c>
      <c r="P4">
        <v>0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Z4">
        <v>0</v>
      </c>
      <c r="AD4">
        <v>0</v>
      </c>
      <c r="AO4">
        <v>0</v>
      </c>
      <c r="AP4">
        <v>2000</v>
      </c>
    </row>
    <row r="5" spans="1:44" x14ac:dyDescent="0.25">
      <c r="A5">
        <v>282</v>
      </c>
      <c r="B5" t="s">
        <v>248</v>
      </c>
      <c r="C5">
        <v>-23.25393</v>
      </c>
      <c r="D5">
        <v>150.82553999999999</v>
      </c>
      <c r="AF5">
        <v>200</v>
      </c>
      <c r="AK5">
        <v>0</v>
      </c>
      <c r="AO5">
        <v>0</v>
      </c>
    </row>
    <row r="6" spans="1:44" x14ac:dyDescent="0.25">
      <c r="A6">
        <v>367</v>
      </c>
      <c r="B6" t="s">
        <v>249</v>
      </c>
      <c r="C6">
        <v>-23.332650000000001</v>
      </c>
      <c r="D6">
        <v>150.79159999999999</v>
      </c>
      <c r="F6">
        <v>0</v>
      </c>
      <c r="AC6">
        <v>0</v>
      </c>
      <c r="AE6">
        <v>0</v>
      </c>
      <c r="AF6">
        <v>50</v>
      </c>
      <c r="AG6">
        <v>0</v>
      </c>
      <c r="AH6">
        <v>0</v>
      </c>
      <c r="AK6">
        <v>0</v>
      </c>
      <c r="AO6">
        <v>0</v>
      </c>
    </row>
    <row r="7" spans="1:44" x14ac:dyDescent="0.25">
      <c r="A7">
        <v>1142</v>
      </c>
      <c r="B7" t="s">
        <v>734</v>
      </c>
      <c r="C7">
        <v>-23.3979</v>
      </c>
      <c r="D7">
        <v>150.49042</v>
      </c>
      <c r="AH7">
        <v>0</v>
      </c>
      <c r="AK7">
        <v>0</v>
      </c>
      <c r="AO7">
        <v>0</v>
      </c>
      <c r="AP7">
        <v>0</v>
      </c>
      <c r="AQ7">
        <v>0</v>
      </c>
    </row>
    <row r="8" spans="1:44" x14ac:dyDescent="0.25">
      <c r="A8">
        <v>362</v>
      </c>
      <c r="B8" t="s">
        <v>78</v>
      </c>
      <c r="C8">
        <v>-23.471599999999999</v>
      </c>
      <c r="D8">
        <v>150.39699999999999</v>
      </c>
      <c r="I8">
        <v>0</v>
      </c>
      <c r="J8">
        <v>0</v>
      </c>
      <c r="L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K8">
        <v>0</v>
      </c>
      <c r="AO8">
        <v>0</v>
      </c>
      <c r="AP8">
        <v>0</v>
      </c>
      <c r="AQ8">
        <v>0</v>
      </c>
    </row>
    <row r="9" spans="1:44" x14ac:dyDescent="0.25">
      <c r="A9">
        <v>958</v>
      </c>
      <c r="B9" t="s">
        <v>250</v>
      </c>
      <c r="C9">
        <v>-23.536850000000001</v>
      </c>
      <c r="D9">
        <v>148.16648000000001</v>
      </c>
      <c r="Z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K9">
        <v>0</v>
      </c>
      <c r="AO9">
        <v>0</v>
      </c>
      <c r="AP9">
        <v>0</v>
      </c>
      <c r="AQ9">
        <v>0</v>
      </c>
    </row>
    <row r="10" spans="1:44" x14ac:dyDescent="0.25">
      <c r="A10">
        <v>1222</v>
      </c>
      <c r="B10" t="s">
        <v>735</v>
      </c>
      <c r="C10">
        <v>-23.564900000000002</v>
      </c>
      <c r="D10">
        <v>151.2133</v>
      </c>
      <c r="AO10">
        <v>0</v>
      </c>
      <c r="AP10">
        <v>0</v>
      </c>
    </row>
    <row r="11" spans="1:44" x14ac:dyDescent="0.25">
      <c r="A11">
        <v>286</v>
      </c>
      <c r="B11" t="s">
        <v>251</v>
      </c>
      <c r="C11">
        <v>-23.576219999999999</v>
      </c>
      <c r="D11">
        <v>148.88391999999999</v>
      </c>
      <c r="AE11">
        <v>0</v>
      </c>
      <c r="AF11">
        <v>0</v>
      </c>
      <c r="AG11">
        <v>0</v>
      </c>
      <c r="AP11">
        <v>0</v>
      </c>
    </row>
    <row r="12" spans="1:44" x14ac:dyDescent="0.25">
      <c r="A12">
        <v>754</v>
      </c>
      <c r="B12" t="s">
        <v>252</v>
      </c>
      <c r="C12">
        <v>-23.621300000000002</v>
      </c>
      <c r="D12">
        <v>150.1557</v>
      </c>
      <c r="I12">
        <v>0</v>
      </c>
      <c r="J12">
        <v>0</v>
      </c>
      <c r="L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K12">
        <v>0</v>
      </c>
      <c r="AO12">
        <v>0</v>
      </c>
      <c r="AP12">
        <v>0</v>
      </c>
      <c r="AQ12">
        <v>0</v>
      </c>
    </row>
    <row r="13" spans="1:44" x14ac:dyDescent="0.25">
      <c r="A13">
        <v>1241</v>
      </c>
      <c r="B13" t="s">
        <v>736</v>
      </c>
      <c r="C13">
        <v>-23.646039999999999</v>
      </c>
      <c r="D13">
        <v>149.33345</v>
      </c>
      <c r="AO13">
        <v>0</v>
      </c>
      <c r="AP13">
        <v>0</v>
      </c>
      <c r="AQ13">
        <v>0</v>
      </c>
    </row>
    <row r="14" spans="1:44" x14ac:dyDescent="0.25">
      <c r="A14">
        <v>788</v>
      </c>
      <c r="B14" t="s">
        <v>253</v>
      </c>
      <c r="C14">
        <v>-23.7209</v>
      </c>
      <c r="D14">
        <v>149.67089999999999</v>
      </c>
      <c r="K14">
        <v>0</v>
      </c>
      <c r="U14">
        <v>0</v>
      </c>
      <c r="W14">
        <v>0</v>
      </c>
      <c r="X14">
        <v>0</v>
      </c>
      <c r="Y14">
        <v>0</v>
      </c>
      <c r="Z14">
        <v>0</v>
      </c>
      <c r="AD14">
        <v>0</v>
      </c>
      <c r="AE14">
        <v>0</v>
      </c>
      <c r="AF14">
        <v>0</v>
      </c>
      <c r="AH14">
        <v>0</v>
      </c>
      <c r="AK14">
        <v>0</v>
      </c>
      <c r="AO14">
        <v>0</v>
      </c>
      <c r="AP14">
        <v>0</v>
      </c>
      <c r="AQ14">
        <v>0</v>
      </c>
    </row>
    <row r="15" spans="1:44" x14ac:dyDescent="0.25">
      <c r="A15">
        <v>1007</v>
      </c>
      <c r="B15" t="s">
        <v>490</v>
      </c>
      <c r="C15">
        <v>-23.851421999999999</v>
      </c>
      <c r="D15">
        <v>151.23317900000001</v>
      </c>
      <c r="AE15">
        <v>0</v>
      </c>
      <c r="AF15">
        <v>0</v>
      </c>
      <c r="AG15">
        <v>0</v>
      </c>
    </row>
    <row r="16" spans="1:44" x14ac:dyDescent="0.25">
      <c r="A16">
        <v>755</v>
      </c>
      <c r="B16" t="s">
        <v>254</v>
      </c>
      <c r="C16">
        <v>-23.910499999999999</v>
      </c>
      <c r="D16">
        <v>150.1927</v>
      </c>
      <c r="U16">
        <v>0</v>
      </c>
      <c r="V16">
        <v>0</v>
      </c>
      <c r="Y16">
        <v>0</v>
      </c>
      <c r="Z16">
        <v>0</v>
      </c>
      <c r="AD16">
        <v>0</v>
      </c>
      <c r="AE16">
        <v>0</v>
      </c>
      <c r="AF16">
        <v>10</v>
      </c>
      <c r="AG16">
        <v>0</v>
      </c>
      <c r="AH16">
        <v>0</v>
      </c>
      <c r="AK16">
        <v>0</v>
      </c>
      <c r="AO16">
        <v>0</v>
      </c>
      <c r="AP16">
        <v>0</v>
      </c>
      <c r="AQ16">
        <v>0</v>
      </c>
    </row>
    <row r="17" spans="1:43" x14ac:dyDescent="0.25">
      <c r="A17">
        <v>1280</v>
      </c>
      <c r="B17" t="s">
        <v>737</v>
      </c>
      <c r="C17">
        <v>-23.941210000000002</v>
      </c>
      <c r="D17">
        <v>151.36010999999999</v>
      </c>
      <c r="AP17">
        <v>0</v>
      </c>
      <c r="AQ17">
        <v>0</v>
      </c>
    </row>
    <row r="18" spans="1:43" x14ac:dyDescent="0.25">
      <c r="A18">
        <v>989</v>
      </c>
      <c r="B18" t="s">
        <v>738</v>
      </c>
      <c r="C18">
        <v>-23.944099999999999</v>
      </c>
      <c r="D18">
        <v>151.3579</v>
      </c>
      <c r="AO18">
        <v>0</v>
      </c>
      <c r="AP18">
        <v>0</v>
      </c>
    </row>
    <row r="19" spans="1:43" x14ac:dyDescent="0.25">
      <c r="A19">
        <v>290</v>
      </c>
      <c r="B19" t="s">
        <v>255</v>
      </c>
      <c r="C19">
        <v>-23.945699999999999</v>
      </c>
      <c r="D19">
        <v>151.35599999999999</v>
      </c>
      <c r="Q19">
        <v>0</v>
      </c>
      <c r="U19">
        <v>0</v>
      </c>
      <c r="V19">
        <v>0</v>
      </c>
      <c r="W19">
        <v>0</v>
      </c>
      <c r="X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F19">
        <v>90</v>
      </c>
      <c r="AH19">
        <v>0</v>
      </c>
      <c r="AP19">
        <v>0</v>
      </c>
    </row>
    <row r="20" spans="1:43" x14ac:dyDescent="0.25">
      <c r="A20">
        <v>1279</v>
      </c>
      <c r="B20" t="s">
        <v>739</v>
      </c>
      <c r="C20">
        <v>-23.950839999999999</v>
      </c>
      <c r="D20">
        <v>151.36052000000001</v>
      </c>
      <c r="AP20">
        <v>0</v>
      </c>
    </row>
    <row r="21" spans="1:43" x14ac:dyDescent="0.25">
      <c r="A21">
        <v>853</v>
      </c>
      <c r="B21" t="s">
        <v>256</v>
      </c>
      <c r="C21">
        <v>-24.00123</v>
      </c>
      <c r="D21">
        <v>151.19309000000001</v>
      </c>
      <c r="Q21">
        <v>400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4000</v>
      </c>
      <c r="AH21">
        <v>0</v>
      </c>
      <c r="AK21">
        <v>0</v>
      </c>
      <c r="AO21">
        <v>0</v>
      </c>
      <c r="AP21">
        <v>0</v>
      </c>
      <c r="AQ21">
        <v>0</v>
      </c>
    </row>
    <row r="22" spans="1:43" x14ac:dyDescent="0.25">
      <c r="A22">
        <v>1263</v>
      </c>
      <c r="B22" t="s">
        <v>740</v>
      </c>
      <c r="C22">
        <v>-24.326540999999999</v>
      </c>
      <c r="D22">
        <v>151.56231700000001</v>
      </c>
      <c r="AP22">
        <v>50</v>
      </c>
      <c r="AQ22">
        <v>0</v>
      </c>
    </row>
    <row r="23" spans="1:43" x14ac:dyDescent="0.25">
      <c r="A23">
        <v>874</v>
      </c>
      <c r="B23" t="s">
        <v>257</v>
      </c>
      <c r="C23">
        <v>-24.327300000000001</v>
      </c>
      <c r="D23">
        <v>151.5609</v>
      </c>
      <c r="U23">
        <v>0</v>
      </c>
      <c r="V23">
        <v>0</v>
      </c>
      <c r="W23">
        <v>0</v>
      </c>
      <c r="X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>
        <v>50</v>
      </c>
      <c r="AH23">
        <v>0</v>
      </c>
      <c r="AK23">
        <v>0</v>
      </c>
      <c r="AO23">
        <v>0</v>
      </c>
      <c r="AP23">
        <v>0</v>
      </c>
    </row>
    <row r="24" spans="1:43" x14ac:dyDescent="0.25">
      <c r="A24">
        <v>959</v>
      </c>
      <c r="B24" t="s">
        <v>258</v>
      </c>
      <c r="C24">
        <v>-24.407952999999999</v>
      </c>
      <c r="D24">
        <v>150.513406</v>
      </c>
      <c r="Z24">
        <v>0</v>
      </c>
      <c r="AE24">
        <v>0</v>
      </c>
      <c r="AG24">
        <v>0</v>
      </c>
      <c r="AO24">
        <v>0</v>
      </c>
      <c r="AP24">
        <v>0</v>
      </c>
      <c r="AQ24">
        <v>0</v>
      </c>
    </row>
    <row r="25" spans="1:43" x14ac:dyDescent="0.25">
      <c r="A25">
        <v>994</v>
      </c>
      <c r="B25" t="s">
        <v>259</v>
      </c>
      <c r="C25">
        <v>-24.502700000000001</v>
      </c>
      <c r="D25">
        <v>149.7277</v>
      </c>
      <c r="AC25">
        <v>0</v>
      </c>
    </row>
    <row r="26" spans="1:43" x14ac:dyDescent="0.25">
      <c r="A26">
        <v>752</v>
      </c>
      <c r="B26" t="s">
        <v>260</v>
      </c>
      <c r="C26">
        <v>-24.573899999999998</v>
      </c>
      <c r="D26">
        <v>149.96809999999999</v>
      </c>
      <c r="Z26">
        <v>0</v>
      </c>
      <c r="AE26">
        <v>0</v>
      </c>
      <c r="AF26">
        <v>0</v>
      </c>
      <c r="AH26">
        <v>0</v>
      </c>
      <c r="AO26">
        <v>0</v>
      </c>
      <c r="AP26">
        <v>0</v>
      </c>
    </row>
    <row r="27" spans="1:43" x14ac:dyDescent="0.25">
      <c r="A27">
        <v>1242</v>
      </c>
      <c r="B27" t="s">
        <v>741</v>
      </c>
      <c r="C27">
        <v>-24.603149999999999</v>
      </c>
      <c r="D27">
        <v>149.94987</v>
      </c>
      <c r="AO27">
        <v>0</v>
      </c>
      <c r="AP27">
        <v>0</v>
      </c>
    </row>
    <row r="28" spans="1:43" x14ac:dyDescent="0.25">
      <c r="A28">
        <v>773</v>
      </c>
      <c r="B28" t="s">
        <v>491</v>
      </c>
      <c r="C28">
        <v>-24.71827</v>
      </c>
      <c r="D28">
        <v>152.28045900000001</v>
      </c>
      <c r="J28">
        <v>0</v>
      </c>
      <c r="K28">
        <v>0</v>
      </c>
      <c r="L28">
        <v>0</v>
      </c>
      <c r="M28">
        <v>0</v>
      </c>
      <c r="O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AC28">
        <v>0</v>
      </c>
      <c r="AD28">
        <v>0</v>
      </c>
      <c r="AE28">
        <v>0</v>
      </c>
      <c r="AF28">
        <v>0</v>
      </c>
      <c r="AK28">
        <v>0</v>
      </c>
      <c r="AP28">
        <v>0</v>
      </c>
    </row>
    <row r="29" spans="1:43" x14ac:dyDescent="0.25">
      <c r="A29">
        <v>394</v>
      </c>
      <c r="B29" t="s">
        <v>492</v>
      </c>
      <c r="C29">
        <v>-24.753240000000002</v>
      </c>
      <c r="D29">
        <v>151.02311</v>
      </c>
      <c r="AG29">
        <v>0</v>
      </c>
    </row>
    <row r="30" spans="1:43" x14ac:dyDescent="0.25">
      <c r="A30">
        <v>782</v>
      </c>
      <c r="B30" t="s">
        <v>261</v>
      </c>
      <c r="C30">
        <v>-24.819479999999999</v>
      </c>
      <c r="D30">
        <v>152.351462</v>
      </c>
      <c r="J30">
        <v>900</v>
      </c>
      <c r="P30">
        <v>0</v>
      </c>
    </row>
    <row r="31" spans="1:43" x14ac:dyDescent="0.25">
      <c r="A31">
        <v>746</v>
      </c>
      <c r="B31" t="s">
        <v>493</v>
      </c>
      <c r="C31">
        <v>-24.823661000000001</v>
      </c>
      <c r="D31">
        <v>152.46222700000001</v>
      </c>
      <c r="H31">
        <v>0</v>
      </c>
      <c r="J31">
        <v>0</v>
      </c>
      <c r="L31">
        <v>0</v>
      </c>
      <c r="M31">
        <v>0</v>
      </c>
      <c r="N31">
        <v>0</v>
      </c>
      <c r="O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AC31">
        <v>0</v>
      </c>
      <c r="AD31">
        <v>0</v>
      </c>
      <c r="AE31">
        <v>0</v>
      </c>
      <c r="AF31">
        <v>0</v>
      </c>
      <c r="AH31">
        <v>0</v>
      </c>
      <c r="AK31">
        <v>0</v>
      </c>
    </row>
    <row r="32" spans="1:43" x14ac:dyDescent="0.25">
      <c r="A32">
        <v>279</v>
      </c>
      <c r="B32" t="s">
        <v>262</v>
      </c>
      <c r="C32">
        <v>-24.83164</v>
      </c>
      <c r="D32">
        <v>152.46888999999999</v>
      </c>
      <c r="E32">
        <v>0</v>
      </c>
      <c r="F32">
        <v>0</v>
      </c>
      <c r="G32">
        <v>20</v>
      </c>
      <c r="H32">
        <v>0</v>
      </c>
      <c r="L32">
        <v>0</v>
      </c>
      <c r="M32">
        <v>0</v>
      </c>
      <c r="N32">
        <v>0</v>
      </c>
      <c r="O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AC32">
        <v>0</v>
      </c>
      <c r="AD32">
        <v>0</v>
      </c>
      <c r="AE32">
        <v>0</v>
      </c>
      <c r="AF32">
        <v>0</v>
      </c>
      <c r="AH32">
        <v>0</v>
      </c>
    </row>
    <row r="33" spans="1:44" x14ac:dyDescent="0.25">
      <c r="A33">
        <v>1008</v>
      </c>
      <c r="B33" t="s">
        <v>494</v>
      </c>
      <c r="C33">
        <v>-24.844086999999998</v>
      </c>
      <c r="D33">
        <v>152.347531</v>
      </c>
      <c r="AE33">
        <v>0</v>
      </c>
      <c r="AF33">
        <v>0</v>
      </c>
      <c r="AG33">
        <v>0</v>
      </c>
      <c r="AH33">
        <v>0</v>
      </c>
    </row>
    <row r="34" spans="1:44" x14ac:dyDescent="0.25">
      <c r="A34">
        <v>585</v>
      </c>
      <c r="B34" t="s">
        <v>263</v>
      </c>
      <c r="C34">
        <v>-24.851596000000001</v>
      </c>
      <c r="D34">
        <v>152.337234</v>
      </c>
      <c r="F34">
        <v>0</v>
      </c>
      <c r="G34">
        <v>50</v>
      </c>
      <c r="H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AC34">
        <v>0</v>
      </c>
      <c r="AD34">
        <v>0</v>
      </c>
      <c r="AE34">
        <v>0</v>
      </c>
      <c r="AF34">
        <v>0</v>
      </c>
      <c r="AG34">
        <v>90</v>
      </c>
      <c r="AH34">
        <v>0</v>
      </c>
      <c r="AK34">
        <v>0</v>
      </c>
    </row>
    <row r="35" spans="1:44" x14ac:dyDescent="0.25">
      <c r="A35">
        <v>586</v>
      </c>
      <c r="B35" t="s">
        <v>495</v>
      </c>
      <c r="C35">
        <v>-24.860617000000001</v>
      </c>
      <c r="D35">
        <v>152.331898</v>
      </c>
      <c r="F35">
        <v>0</v>
      </c>
      <c r="G35">
        <v>0</v>
      </c>
      <c r="H35">
        <v>0</v>
      </c>
      <c r="J35">
        <v>0</v>
      </c>
    </row>
    <row r="36" spans="1:44" x14ac:dyDescent="0.25">
      <c r="A36">
        <v>587</v>
      </c>
      <c r="B36" t="s">
        <v>496</v>
      </c>
      <c r="C36">
        <v>-24.860887000000002</v>
      </c>
      <c r="D36">
        <v>152.343761</v>
      </c>
      <c r="F36">
        <v>0</v>
      </c>
      <c r="H36">
        <v>0</v>
      </c>
    </row>
    <row r="37" spans="1:44" x14ac:dyDescent="0.25">
      <c r="A37">
        <v>293</v>
      </c>
      <c r="B37" t="s">
        <v>264</v>
      </c>
      <c r="C37">
        <v>-24.861499999999999</v>
      </c>
      <c r="D37">
        <v>152.33869999999999</v>
      </c>
      <c r="E37">
        <v>40</v>
      </c>
      <c r="F37">
        <v>0</v>
      </c>
      <c r="P37">
        <v>0</v>
      </c>
      <c r="Q37">
        <v>0</v>
      </c>
      <c r="R37">
        <v>0</v>
      </c>
      <c r="S37">
        <v>0</v>
      </c>
      <c r="T37">
        <v>0</v>
      </c>
      <c r="V37">
        <v>0</v>
      </c>
      <c r="W37">
        <v>0</v>
      </c>
      <c r="X37">
        <v>0</v>
      </c>
      <c r="Y37">
        <v>0</v>
      </c>
      <c r="AB37">
        <v>0</v>
      </c>
      <c r="AD37">
        <v>0</v>
      </c>
      <c r="AO37">
        <v>0</v>
      </c>
    </row>
    <row r="38" spans="1:44" x14ac:dyDescent="0.25">
      <c r="A38">
        <v>1011</v>
      </c>
      <c r="B38" t="s">
        <v>497</v>
      </c>
      <c r="C38">
        <v>-24.863589999999999</v>
      </c>
      <c r="D38">
        <v>152.47807</v>
      </c>
      <c r="AE38">
        <v>0</v>
      </c>
      <c r="AF38">
        <v>0</v>
      </c>
      <c r="AH38">
        <v>0</v>
      </c>
      <c r="AK38">
        <v>0</v>
      </c>
      <c r="AO38">
        <v>0</v>
      </c>
      <c r="AP38">
        <v>0</v>
      </c>
      <c r="AQ38">
        <v>0</v>
      </c>
    </row>
    <row r="39" spans="1:44" x14ac:dyDescent="0.25">
      <c r="A39">
        <v>772</v>
      </c>
      <c r="B39" t="s">
        <v>79</v>
      </c>
      <c r="C39">
        <v>-24.867319999999999</v>
      </c>
      <c r="D39">
        <v>152.370743</v>
      </c>
      <c r="J39">
        <v>0</v>
      </c>
      <c r="K39">
        <v>1700</v>
      </c>
      <c r="L39">
        <v>20</v>
      </c>
      <c r="M39">
        <v>0</v>
      </c>
      <c r="N39">
        <v>0</v>
      </c>
      <c r="O39">
        <v>0</v>
      </c>
      <c r="R39">
        <v>0</v>
      </c>
      <c r="S39">
        <v>0</v>
      </c>
      <c r="T39">
        <v>20</v>
      </c>
      <c r="U39">
        <v>5</v>
      </c>
      <c r="V39">
        <v>0</v>
      </c>
      <c r="W39">
        <v>0</v>
      </c>
      <c r="Z39">
        <v>0</v>
      </c>
      <c r="AB39">
        <v>0</v>
      </c>
      <c r="AC39">
        <v>0</v>
      </c>
      <c r="AD39">
        <v>0</v>
      </c>
      <c r="AE39">
        <v>1</v>
      </c>
      <c r="AF39">
        <v>3</v>
      </c>
      <c r="AG39">
        <v>100</v>
      </c>
      <c r="AH39">
        <v>0</v>
      </c>
      <c r="AK39">
        <v>0</v>
      </c>
      <c r="AO39">
        <v>0</v>
      </c>
      <c r="AP39">
        <v>0</v>
      </c>
      <c r="AQ39">
        <v>0</v>
      </c>
    </row>
    <row r="40" spans="1:44" x14ac:dyDescent="0.25">
      <c r="A40">
        <v>712</v>
      </c>
      <c r="B40" t="s">
        <v>265</v>
      </c>
      <c r="C40">
        <v>-24.887467000000001</v>
      </c>
      <c r="D40">
        <v>152.229162</v>
      </c>
      <c r="G40">
        <v>10</v>
      </c>
      <c r="H40">
        <v>50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AC40">
        <v>0</v>
      </c>
      <c r="AD40">
        <v>0</v>
      </c>
      <c r="AE40">
        <v>0</v>
      </c>
      <c r="AF40">
        <v>0</v>
      </c>
      <c r="AG40">
        <v>700</v>
      </c>
      <c r="AH40">
        <v>0</v>
      </c>
      <c r="AK40">
        <v>0</v>
      </c>
      <c r="AO40">
        <v>0</v>
      </c>
      <c r="AP40">
        <v>0</v>
      </c>
      <c r="AQ40">
        <v>0</v>
      </c>
    </row>
    <row r="41" spans="1:44" x14ac:dyDescent="0.25">
      <c r="A41">
        <v>880</v>
      </c>
      <c r="B41" t="s">
        <v>498</v>
      </c>
      <c r="C41">
        <v>-24.9039</v>
      </c>
      <c r="D41">
        <v>151.59299999999999</v>
      </c>
      <c r="U41">
        <v>0</v>
      </c>
      <c r="V41">
        <v>0</v>
      </c>
      <c r="W41">
        <v>0</v>
      </c>
      <c r="AC41">
        <v>0</v>
      </c>
      <c r="AD41">
        <v>0</v>
      </c>
      <c r="AF41">
        <v>0</v>
      </c>
    </row>
    <row r="42" spans="1:44" x14ac:dyDescent="0.25">
      <c r="A42">
        <v>753</v>
      </c>
      <c r="B42" t="s">
        <v>499</v>
      </c>
      <c r="C42">
        <v>-24.950700000000001</v>
      </c>
      <c r="D42">
        <v>150.07650000000001</v>
      </c>
      <c r="AE42">
        <v>0</v>
      </c>
      <c r="AG42">
        <v>0</v>
      </c>
      <c r="AH42">
        <v>0</v>
      </c>
      <c r="AO42">
        <v>0</v>
      </c>
      <c r="AP42">
        <v>0</v>
      </c>
    </row>
    <row r="43" spans="1:44" x14ac:dyDescent="0.25">
      <c r="A43">
        <v>946</v>
      </c>
      <c r="B43" t="s">
        <v>266</v>
      </c>
      <c r="C43">
        <v>-25.067699999999999</v>
      </c>
      <c r="D43">
        <v>148.2706</v>
      </c>
      <c r="Y43">
        <v>0</v>
      </c>
    </row>
    <row r="44" spans="1:44" x14ac:dyDescent="0.25">
      <c r="A44">
        <v>299</v>
      </c>
      <c r="B44" t="s">
        <v>267</v>
      </c>
      <c r="C44">
        <v>-25.209499999999998</v>
      </c>
      <c r="D44">
        <v>152.5274</v>
      </c>
      <c r="E44">
        <v>0</v>
      </c>
      <c r="F44">
        <v>0</v>
      </c>
      <c r="G44">
        <v>0</v>
      </c>
      <c r="H44">
        <v>10</v>
      </c>
      <c r="I44">
        <v>0</v>
      </c>
      <c r="J44">
        <v>0</v>
      </c>
      <c r="K44">
        <v>0</v>
      </c>
      <c r="L44">
        <v>14000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K44">
        <v>0</v>
      </c>
    </row>
    <row r="45" spans="1:44" x14ac:dyDescent="0.25">
      <c r="A45">
        <v>1039</v>
      </c>
      <c r="B45" t="s">
        <v>742</v>
      </c>
      <c r="C45">
        <v>-25.221755000000002</v>
      </c>
      <c r="D45">
        <v>152.29596599999999</v>
      </c>
      <c r="AG45">
        <v>0</v>
      </c>
      <c r="AH45">
        <v>0</v>
      </c>
    </row>
    <row r="46" spans="1:44" x14ac:dyDescent="0.25">
      <c r="A46">
        <v>359</v>
      </c>
      <c r="B46" t="s">
        <v>268</v>
      </c>
      <c r="C46">
        <v>-25.227</v>
      </c>
      <c r="D46">
        <v>152.30799999999999</v>
      </c>
      <c r="G46">
        <v>5400</v>
      </c>
      <c r="H46">
        <v>0</v>
      </c>
      <c r="J46">
        <v>0</v>
      </c>
      <c r="K46">
        <v>0</v>
      </c>
      <c r="L46">
        <v>0</v>
      </c>
      <c r="M46">
        <v>2</v>
      </c>
      <c r="N46">
        <v>0</v>
      </c>
      <c r="O46">
        <v>0</v>
      </c>
      <c r="R46">
        <v>0</v>
      </c>
      <c r="S46">
        <v>0</v>
      </c>
      <c r="T46">
        <v>0</v>
      </c>
      <c r="U46">
        <v>2</v>
      </c>
      <c r="V46">
        <v>0</v>
      </c>
      <c r="W46">
        <v>0</v>
      </c>
      <c r="Z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44" x14ac:dyDescent="0.25">
      <c r="A47">
        <v>898</v>
      </c>
      <c r="B47" t="s">
        <v>269</v>
      </c>
      <c r="C47">
        <v>-25.229600000000001</v>
      </c>
      <c r="D47">
        <v>152.30179999999999</v>
      </c>
      <c r="V47">
        <v>0</v>
      </c>
      <c r="W47">
        <v>0</v>
      </c>
      <c r="AC47">
        <v>0</v>
      </c>
      <c r="AD47">
        <v>0</v>
      </c>
      <c r="AE47">
        <v>0</v>
      </c>
      <c r="AF47">
        <v>0</v>
      </c>
      <c r="AG47">
        <v>200</v>
      </c>
      <c r="AH47">
        <v>0</v>
      </c>
      <c r="AK47">
        <v>0</v>
      </c>
      <c r="AO47">
        <v>0</v>
      </c>
      <c r="AP47">
        <v>0</v>
      </c>
      <c r="AQ47">
        <v>0</v>
      </c>
    </row>
    <row r="48" spans="1:44" x14ac:dyDescent="0.25">
      <c r="A48">
        <v>579</v>
      </c>
      <c r="B48" t="s">
        <v>500</v>
      </c>
      <c r="C48">
        <v>-25.2456</v>
      </c>
      <c r="D48">
        <v>152.81280000000001</v>
      </c>
      <c r="AR48">
        <v>0</v>
      </c>
    </row>
    <row r="49" spans="1:44" x14ac:dyDescent="0.25">
      <c r="A49">
        <v>312</v>
      </c>
      <c r="B49" t="s">
        <v>270</v>
      </c>
      <c r="C49">
        <v>-25.247</v>
      </c>
      <c r="D49">
        <v>152.316</v>
      </c>
      <c r="E49">
        <v>1000</v>
      </c>
      <c r="F49">
        <v>16000</v>
      </c>
      <c r="K49">
        <v>900</v>
      </c>
      <c r="AD49">
        <v>0</v>
      </c>
      <c r="AF49">
        <v>0</v>
      </c>
    </row>
    <row r="50" spans="1:44" x14ac:dyDescent="0.25">
      <c r="A50">
        <v>790</v>
      </c>
      <c r="B50" t="s">
        <v>501</v>
      </c>
      <c r="C50">
        <v>-25.255865</v>
      </c>
      <c r="D50">
        <v>152.69216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R50">
        <v>0</v>
      </c>
      <c r="S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D50">
        <v>0</v>
      </c>
      <c r="AE50">
        <v>0</v>
      </c>
      <c r="AF50">
        <v>0</v>
      </c>
      <c r="AG50">
        <v>0</v>
      </c>
    </row>
    <row r="51" spans="1:44" x14ac:dyDescent="0.25">
      <c r="A51">
        <v>330</v>
      </c>
      <c r="B51" t="s">
        <v>502</v>
      </c>
      <c r="C51">
        <v>-25.2682</v>
      </c>
      <c r="D51">
        <v>152.72720000000001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44" x14ac:dyDescent="0.25">
      <c r="A52">
        <v>760</v>
      </c>
      <c r="B52" t="s">
        <v>503</v>
      </c>
      <c r="C52">
        <v>-25.270099999999999</v>
      </c>
      <c r="D52">
        <v>152.74539999999999</v>
      </c>
      <c r="I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44" x14ac:dyDescent="0.25">
      <c r="A53">
        <v>1201</v>
      </c>
      <c r="B53" t="s">
        <v>743</v>
      </c>
      <c r="C53">
        <v>-25.273499999999999</v>
      </c>
      <c r="D53">
        <v>152.72200000000001</v>
      </c>
      <c r="AK53">
        <v>52</v>
      </c>
    </row>
    <row r="54" spans="1:44" x14ac:dyDescent="0.25">
      <c r="A54">
        <v>589</v>
      </c>
      <c r="B54" t="s">
        <v>504</v>
      </c>
      <c r="C54">
        <v>-25.274922</v>
      </c>
      <c r="D54">
        <v>152.75007299999999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R54">
        <v>0</v>
      </c>
    </row>
    <row r="55" spans="1:44" x14ac:dyDescent="0.25">
      <c r="A55">
        <v>1249</v>
      </c>
      <c r="B55" t="s">
        <v>744</v>
      </c>
      <c r="C55">
        <v>-25.276599999999998</v>
      </c>
      <c r="D55">
        <v>152.76159999999999</v>
      </c>
      <c r="AO55">
        <v>0</v>
      </c>
      <c r="AP55">
        <v>0</v>
      </c>
    </row>
    <row r="56" spans="1:44" x14ac:dyDescent="0.25">
      <c r="A56">
        <v>1294</v>
      </c>
      <c r="B56" t="s">
        <v>830</v>
      </c>
      <c r="C56">
        <v>-25.276610000000002</v>
      </c>
      <c r="D56">
        <v>152.75379000000001</v>
      </c>
      <c r="AR56">
        <v>69345</v>
      </c>
    </row>
    <row r="57" spans="1:44" x14ac:dyDescent="0.25">
      <c r="A57">
        <v>538</v>
      </c>
      <c r="B57" t="s">
        <v>80</v>
      </c>
      <c r="C57">
        <v>-25.2818</v>
      </c>
      <c r="D57">
        <v>152.84719999999999</v>
      </c>
      <c r="E57">
        <v>0</v>
      </c>
      <c r="F57">
        <v>0</v>
      </c>
      <c r="G57">
        <v>0</v>
      </c>
      <c r="H57">
        <v>250</v>
      </c>
      <c r="I57">
        <v>10</v>
      </c>
      <c r="J57">
        <v>0</v>
      </c>
      <c r="K57">
        <v>0</v>
      </c>
      <c r="L57">
        <v>2000</v>
      </c>
      <c r="M57">
        <v>50</v>
      </c>
      <c r="N57">
        <v>0</v>
      </c>
      <c r="O57">
        <v>1500</v>
      </c>
      <c r="P57">
        <v>0</v>
      </c>
      <c r="Q57">
        <v>0</v>
      </c>
      <c r="R57">
        <v>0</v>
      </c>
      <c r="S57">
        <v>250</v>
      </c>
      <c r="T57">
        <v>38004</v>
      </c>
      <c r="U57">
        <v>20</v>
      </c>
      <c r="V57">
        <v>0</v>
      </c>
      <c r="W57">
        <v>0</v>
      </c>
      <c r="X57">
        <v>0</v>
      </c>
      <c r="Y57">
        <v>80</v>
      </c>
      <c r="Z57">
        <v>0</v>
      </c>
      <c r="AA57">
        <v>0</v>
      </c>
      <c r="AB57">
        <v>0</v>
      </c>
      <c r="AC57">
        <v>10</v>
      </c>
      <c r="AD57">
        <v>0</v>
      </c>
      <c r="AE57">
        <v>0</v>
      </c>
      <c r="AF57">
        <v>5</v>
      </c>
      <c r="AG57">
        <v>6</v>
      </c>
      <c r="AK57">
        <v>0</v>
      </c>
      <c r="AO57">
        <v>27</v>
      </c>
      <c r="AP57">
        <v>15</v>
      </c>
      <c r="AQ57">
        <v>0</v>
      </c>
      <c r="AR57">
        <v>0</v>
      </c>
    </row>
    <row r="58" spans="1:44" x14ac:dyDescent="0.25">
      <c r="A58">
        <v>901</v>
      </c>
      <c r="B58" t="s">
        <v>505</v>
      </c>
      <c r="C58">
        <v>-25.287400000000002</v>
      </c>
      <c r="D58">
        <v>152.88339999999999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R58">
        <v>0</v>
      </c>
    </row>
    <row r="59" spans="1:44" x14ac:dyDescent="0.25">
      <c r="A59">
        <v>845</v>
      </c>
      <c r="B59" t="s">
        <v>81</v>
      </c>
      <c r="C59">
        <v>-25.287500000000001</v>
      </c>
      <c r="D59">
        <v>152.74709999999999</v>
      </c>
      <c r="P59">
        <v>25000</v>
      </c>
      <c r="R59">
        <v>0</v>
      </c>
      <c r="S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2000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O59">
        <v>0</v>
      </c>
      <c r="AP59">
        <v>0</v>
      </c>
      <c r="AR59">
        <v>0</v>
      </c>
    </row>
    <row r="60" spans="1:44" x14ac:dyDescent="0.25">
      <c r="A60">
        <v>580</v>
      </c>
      <c r="B60" t="s">
        <v>5</v>
      </c>
      <c r="C60">
        <v>-25.288844999999998</v>
      </c>
      <c r="D60">
        <v>152.892866</v>
      </c>
      <c r="F60">
        <v>0</v>
      </c>
      <c r="G60">
        <v>0</v>
      </c>
      <c r="H60">
        <v>0</v>
      </c>
      <c r="I60">
        <v>0</v>
      </c>
      <c r="J60">
        <v>0</v>
      </c>
      <c r="K60">
        <v>400</v>
      </c>
      <c r="L60">
        <v>0</v>
      </c>
      <c r="M60">
        <v>100</v>
      </c>
      <c r="N60">
        <v>0</v>
      </c>
      <c r="O60">
        <v>0</v>
      </c>
      <c r="P60">
        <v>40000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15000</v>
      </c>
      <c r="X60">
        <v>0</v>
      </c>
      <c r="Y60">
        <v>1000</v>
      </c>
      <c r="Z60">
        <v>0</v>
      </c>
      <c r="AA60">
        <v>1500</v>
      </c>
      <c r="AB60">
        <v>30000</v>
      </c>
      <c r="AC60">
        <v>0</v>
      </c>
      <c r="AD60">
        <v>0</v>
      </c>
      <c r="AE60">
        <v>2000</v>
      </c>
      <c r="AF60">
        <v>0</v>
      </c>
      <c r="AG60">
        <v>0</v>
      </c>
      <c r="AK60">
        <v>0</v>
      </c>
      <c r="AO60">
        <v>0</v>
      </c>
      <c r="AP60">
        <v>0</v>
      </c>
      <c r="AQ60">
        <v>0</v>
      </c>
      <c r="AR60">
        <v>51069</v>
      </c>
    </row>
    <row r="61" spans="1:44" x14ac:dyDescent="0.25">
      <c r="A61">
        <v>1234</v>
      </c>
      <c r="B61" t="s">
        <v>745</v>
      </c>
      <c r="C61">
        <v>-25.345455999999999</v>
      </c>
      <c r="D61">
        <v>151.18072000000001</v>
      </c>
      <c r="AO61">
        <v>0</v>
      </c>
      <c r="AQ61">
        <v>0</v>
      </c>
    </row>
    <row r="62" spans="1:44" x14ac:dyDescent="0.25">
      <c r="A62">
        <v>537</v>
      </c>
      <c r="B62" t="s">
        <v>506</v>
      </c>
      <c r="C62">
        <v>-25.3749</v>
      </c>
      <c r="D62">
        <v>152.76920000000001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44" x14ac:dyDescent="0.25">
      <c r="A63">
        <v>392</v>
      </c>
      <c r="B63" t="s">
        <v>507</v>
      </c>
      <c r="C63">
        <v>-25.473400000000002</v>
      </c>
      <c r="D63">
        <v>152.72239999999999</v>
      </c>
      <c r="E63">
        <v>0</v>
      </c>
      <c r="F63">
        <v>0</v>
      </c>
      <c r="G63">
        <v>0</v>
      </c>
      <c r="I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K63">
        <v>0</v>
      </c>
    </row>
    <row r="64" spans="1:44" x14ac:dyDescent="0.25">
      <c r="A64">
        <v>533</v>
      </c>
      <c r="B64" t="s">
        <v>7</v>
      </c>
      <c r="C64">
        <v>-25.509699999999999</v>
      </c>
      <c r="D64">
        <v>152.71850000000001</v>
      </c>
      <c r="E64">
        <v>0</v>
      </c>
      <c r="F64">
        <v>0</v>
      </c>
      <c r="G64">
        <v>3300</v>
      </c>
      <c r="H64">
        <v>0</v>
      </c>
      <c r="I64">
        <v>0</v>
      </c>
      <c r="J64">
        <v>0</v>
      </c>
      <c r="K64">
        <v>2000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15000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O64">
        <v>0</v>
      </c>
      <c r="AP64">
        <v>0</v>
      </c>
      <c r="AR64">
        <v>0</v>
      </c>
    </row>
    <row r="65" spans="1:44" x14ac:dyDescent="0.25">
      <c r="A65">
        <v>1221</v>
      </c>
      <c r="B65" t="s">
        <v>746</v>
      </c>
      <c r="C65">
        <v>-25.529565999999999</v>
      </c>
      <c r="D65">
        <v>152.71253200000001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v>459</v>
      </c>
      <c r="B66" t="s">
        <v>508</v>
      </c>
      <c r="C66">
        <v>-25.540400000000002</v>
      </c>
      <c r="D66">
        <v>152.6789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R66">
        <v>0</v>
      </c>
    </row>
    <row r="67" spans="1:44" x14ac:dyDescent="0.25">
      <c r="A67">
        <v>535</v>
      </c>
      <c r="B67" t="s">
        <v>82</v>
      </c>
      <c r="C67">
        <v>-25.543600000000001</v>
      </c>
      <c r="D67">
        <v>152.7131</v>
      </c>
      <c r="E67">
        <v>0</v>
      </c>
      <c r="F67">
        <v>0</v>
      </c>
      <c r="G67">
        <v>0</v>
      </c>
      <c r="H67">
        <v>5000</v>
      </c>
      <c r="I67">
        <v>100</v>
      </c>
      <c r="J67">
        <v>0</v>
      </c>
      <c r="K67">
        <v>0</v>
      </c>
      <c r="L67">
        <v>3000</v>
      </c>
      <c r="M67">
        <v>100</v>
      </c>
      <c r="N67">
        <v>0</v>
      </c>
      <c r="O67">
        <v>500</v>
      </c>
      <c r="P67">
        <v>25000</v>
      </c>
      <c r="Q67">
        <v>50</v>
      </c>
      <c r="R67">
        <v>0</v>
      </c>
      <c r="S67">
        <v>0</v>
      </c>
      <c r="T67">
        <v>0</v>
      </c>
      <c r="U67">
        <v>8</v>
      </c>
      <c r="V67">
        <v>0</v>
      </c>
      <c r="W67">
        <v>0</v>
      </c>
      <c r="X67">
        <v>1000</v>
      </c>
      <c r="Y67">
        <v>0</v>
      </c>
      <c r="Z67">
        <v>0</v>
      </c>
      <c r="AA67">
        <v>55</v>
      </c>
      <c r="AB67">
        <v>0</v>
      </c>
      <c r="AC67">
        <v>0</v>
      </c>
      <c r="AD67">
        <v>0</v>
      </c>
      <c r="AE67">
        <v>145</v>
      </c>
      <c r="AF67">
        <v>33000</v>
      </c>
      <c r="AG67">
        <v>7</v>
      </c>
      <c r="AK67">
        <v>257</v>
      </c>
      <c r="AO67">
        <v>1150</v>
      </c>
      <c r="AP67">
        <v>0</v>
      </c>
      <c r="AQ67">
        <v>217</v>
      </c>
      <c r="AR67">
        <v>600</v>
      </c>
    </row>
    <row r="68" spans="1:44" x14ac:dyDescent="0.25">
      <c r="A68">
        <v>391</v>
      </c>
      <c r="B68" t="s">
        <v>271</v>
      </c>
      <c r="C68">
        <v>-25.556899999999999</v>
      </c>
      <c r="D68">
        <v>152.7123</v>
      </c>
      <c r="E68">
        <v>15000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P68">
        <v>0</v>
      </c>
      <c r="AQ68">
        <v>0</v>
      </c>
    </row>
    <row r="69" spans="1:44" x14ac:dyDescent="0.25">
      <c r="A69">
        <v>534</v>
      </c>
      <c r="B69" t="s">
        <v>509</v>
      </c>
      <c r="C69">
        <v>-25.560860000000002</v>
      </c>
      <c r="D69">
        <v>152.71216000000001</v>
      </c>
      <c r="E69">
        <v>0</v>
      </c>
      <c r="F69">
        <v>0</v>
      </c>
      <c r="G69">
        <v>0</v>
      </c>
      <c r="H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R69">
        <v>0</v>
      </c>
    </row>
    <row r="70" spans="1:44" x14ac:dyDescent="0.25">
      <c r="A70">
        <v>1264</v>
      </c>
      <c r="B70" t="s">
        <v>747</v>
      </c>
      <c r="C70">
        <v>-25.580428999999999</v>
      </c>
      <c r="D70">
        <v>151.30481599999999</v>
      </c>
      <c r="AP70">
        <v>0</v>
      </c>
      <c r="AQ70">
        <v>0</v>
      </c>
    </row>
    <row r="71" spans="1:44" x14ac:dyDescent="0.25">
      <c r="A71">
        <v>173</v>
      </c>
      <c r="B71" t="s">
        <v>510</v>
      </c>
      <c r="C71">
        <v>-25.584530000000001</v>
      </c>
      <c r="D71">
        <v>151.30108999999999</v>
      </c>
      <c r="G71">
        <v>0</v>
      </c>
      <c r="H71">
        <v>0</v>
      </c>
      <c r="I71">
        <v>0</v>
      </c>
      <c r="AK71">
        <v>0</v>
      </c>
      <c r="AO71">
        <v>0</v>
      </c>
    </row>
    <row r="72" spans="1:44" x14ac:dyDescent="0.25">
      <c r="A72">
        <v>549</v>
      </c>
      <c r="B72" t="s">
        <v>511</v>
      </c>
      <c r="C72">
        <v>-25.585899999999999</v>
      </c>
      <c r="D72">
        <v>151.66220000000001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O72">
        <v>0</v>
      </c>
      <c r="AQ72">
        <v>0</v>
      </c>
    </row>
    <row r="73" spans="1:44" x14ac:dyDescent="0.25">
      <c r="A73">
        <v>539</v>
      </c>
      <c r="B73" t="s">
        <v>8</v>
      </c>
      <c r="C73">
        <v>-25.613320999999999</v>
      </c>
      <c r="D73">
        <v>152.87423799999999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500</v>
      </c>
      <c r="M73">
        <v>0</v>
      </c>
      <c r="N73">
        <v>0</v>
      </c>
      <c r="O73">
        <v>50</v>
      </c>
      <c r="P73">
        <v>15000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20000</v>
      </c>
      <c r="X73">
        <v>0</v>
      </c>
      <c r="Y73">
        <v>0</v>
      </c>
      <c r="Z73">
        <v>0</v>
      </c>
      <c r="AA73">
        <v>1500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K73">
        <v>0</v>
      </c>
      <c r="AO73">
        <v>0</v>
      </c>
      <c r="AP73">
        <v>0</v>
      </c>
      <c r="AQ73">
        <v>0</v>
      </c>
    </row>
    <row r="74" spans="1:44" x14ac:dyDescent="0.25">
      <c r="A74">
        <v>315</v>
      </c>
      <c r="B74" t="s">
        <v>83</v>
      </c>
      <c r="C74">
        <v>-25.615100000000002</v>
      </c>
      <c r="D74">
        <v>151.89429999999999</v>
      </c>
      <c r="E74">
        <v>0</v>
      </c>
      <c r="F74">
        <v>0</v>
      </c>
      <c r="G74">
        <v>0</v>
      </c>
      <c r="H74">
        <v>8000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100</v>
      </c>
      <c r="V74">
        <v>100</v>
      </c>
      <c r="W74">
        <v>0</v>
      </c>
      <c r="X74">
        <v>0</v>
      </c>
      <c r="Y74">
        <v>0</v>
      </c>
      <c r="Z74">
        <v>0</v>
      </c>
      <c r="AA74">
        <v>1800</v>
      </c>
      <c r="AB74">
        <v>0</v>
      </c>
      <c r="AC74">
        <v>0</v>
      </c>
      <c r="AD74">
        <v>0</v>
      </c>
      <c r="AE74">
        <v>0</v>
      </c>
      <c r="AF74">
        <v>7500</v>
      </c>
      <c r="AG74">
        <v>29</v>
      </c>
      <c r="AK74">
        <v>20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v>348</v>
      </c>
      <c r="B75" t="s">
        <v>272</v>
      </c>
      <c r="C75">
        <v>-25.623899999999999</v>
      </c>
      <c r="D75">
        <v>151.61089999999999</v>
      </c>
      <c r="E75">
        <v>0</v>
      </c>
      <c r="F75">
        <v>0</v>
      </c>
      <c r="G75">
        <v>3</v>
      </c>
      <c r="H75">
        <v>4000</v>
      </c>
      <c r="I75">
        <v>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K75">
        <v>0</v>
      </c>
      <c r="AP75">
        <v>2</v>
      </c>
    </row>
    <row r="76" spans="1:44" x14ac:dyDescent="0.25">
      <c r="A76">
        <v>190</v>
      </c>
      <c r="B76" t="s">
        <v>9</v>
      </c>
      <c r="C76">
        <v>-25.642142</v>
      </c>
      <c r="D76">
        <v>152.33293499999999</v>
      </c>
      <c r="E76">
        <v>100000</v>
      </c>
      <c r="F76">
        <v>0</v>
      </c>
      <c r="G76">
        <v>30000</v>
      </c>
      <c r="H76">
        <v>0</v>
      </c>
      <c r="I76">
        <v>0</v>
      </c>
      <c r="J76">
        <v>0</v>
      </c>
      <c r="K76">
        <v>50412</v>
      </c>
      <c r="L76">
        <v>70000</v>
      </c>
      <c r="M76">
        <v>50</v>
      </c>
      <c r="N76">
        <v>0</v>
      </c>
      <c r="O76">
        <v>0</v>
      </c>
      <c r="P76">
        <v>60000</v>
      </c>
      <c r="Q76">
        <v>0</v>
      </c>
      <c r="R76">
        <v>20000</v>
      </c>
      <c r="S76">
        <v>40000</v>
      </c>
      <c r="T76">
        <v>89701</v>
      </c>
      <c r="U76">
        <v>0</v>
      </c>
      <c r="V76">
        <v>0</v>
      </c>
      <c r="W76">
        <v>10000</v>
      </c>
      <c r="X76">
        <v>20000</v>
      </c>
      <c r="Y76">
        <v>0</v>
      </c>
      <c r="Z76">
        <v>0</v>
      </c>
      <c r="AA76">
        <v>4000</v>
      </c>
      <c r="AB76">
        <v>100000</v>
      </c>
      <c r="AC76">
        <v>80000</v>
      </c>
      <c r="AD76">
        <v>0</v>
      </c>
      <c r="AE76">
        <v>0</v>
      </c>
      <c r="AF76">
        <v>0</v>
      </c>
      <c r="AG76">
        <v>0</v>
      </c>
      <c r="AK76">
        <v>0</v>
      </c>
      <c r="AO76">
        <v>0</v>
      </c>
      <c r="AP76">
        <v>0</v>
      </c>
      <c r="AQ76">
        <v>1420</v>
      </c>
      <c r="AR76">
        <v>0</v>
      </c>
    </row>
    <row r="77" spans="1:44" x14ac:dyDescent="0.25">
      <c r="A77">
        <v>536</v>
      </c>
      <c r="B77" t="s">
        <v>512</v>
      </c>
      <c r="C77">
        <v>-25.674900999999998</v>
      </c>
      <c r="D77">
        <v>152.90669399999999</v>
      </c>
      <c r="E77">
        <v>0</v>
      </c>
    </row>
    <row r="78" spans="1:44" x14ac:dyDescent="0.25">
      <c r="A78">
        <v>1130</v>
      </c>
      <c r="B78" t="s">
        <v>831</v>
      </c>
      <c r="C78">
        <v>-25.716000000000001</v>
      </c>
      <c r="D78">
        <v>152.57300000000001</v>
      </c>
      <c r="AR78">
        <v>0</v>
      </c>
    </row>
    <row r="79" spans="1:44" x14ac:dyDescent="0.25">
      <c r="A79">
        <v>565</v>
      </c>
      <c r="B79" t="s">
        <v>513</v>
      </c>
      <c r="C79">
        <v>-25.767969999999998</v>
      </c>
      <c r="D79">
        <v>152.98021</v>
      </c>
      <c r="P79">
        <v>0</v>
      </c>
    </row>
    <row r="80" spans="1:44" x14ac:dyDescent="0.25">
      <c r="A80">
        <v>563</v>
      </c>
      <c r="B80" t="s">
        <v>514</v>
      </c>
      <c r="C80">
        <v>-25.8172</v>
      </c>
      <c r="D80">
        <v>153.07</v>
      </c>
      <c r="AP80">
        <v>0</v>
      </c>
      <c r="AQ80">
        <v>0</v>
      </c>
    </row>
    <row r="81" spans="1:44" x14ac:dyDescent="0.25">
      <c r="A81">
        <v>564</v>
      </c>
      <c r="B81" t="s">
        <v>515</v>
      </c>
      <c r="C81">
        <v>-25.9175</v>
      </c>
      <c r="D81">
        <v>152.99260000000001</v>
      </c>
      <c r="E81">
        <v>0</v>
      </c>
      <c r="F81">
        <v>0</v>
      </c>
      <c r="G81">
        <v>0</v>
      </c>
      <c r="J81">
        <v>0</v>
      </c>
      <c r="K81">
        <v>0</v>
      </c>
      <c r="AQ81">
        <v>0</v>
      </c>
    </row>
    <row r="82" spans="1:44" x14ac:dyDescent="0.25">
      <c r="A82">
        <v>349</v>
      </c>
      <c r="B82" t="s">
        <v>10</v>
      </c>
      <c r="C82">
        <v>-25.927399999999999</v>
      </c>
      <c r="D82">
        <v>152.6259</v>
      </c>
      <c r="E82">
        <v>17500</v>
      </c>
      <c r="F82">
        <v>50</v>
      </c>
      <c r="G82">
        <v>1000</v>
      </c>
      <c r="H82">
        <v>600</v>
      </c>
      <c r="I82">
        <v>0</v>
      </c>
      <c r="J82">
        <v>0</v>
      </c>
      <c r="K82">
        <v>8000</v>
      </c>
      <c r="L82">
        <v>4500</v>
      </c>
      <c r="P82">
        <v>0</v>
      </c>
      <c r="Q82">
        <v>3750</v>
      </c>
      <c r="R82">
        <v>25</v>
      </c>
      <c r="S82">
        <v>2100</v>
      </c>
      <c r="T82">
        <v>0</v>
      </c>
      <c r="U82">
        <v>4200</v>
      </c>
      <c r="W82">
        <v>0</v>
      </c>
      <c r="Y82">
        <v>0</v>
      </c>
      <c r="Z82">
        <v>140</v>
      </c>
      <c r="AA82">
        <v>0</v>
      </c>
      <c r="AB82">
        <v>20000</v>
      </c>
      <c r="AD82">
        <v>240</v>
      </c>
      <c r="AE82">
        <v>8524</v>
      </c>
      <c r="AF82">
        <v>2500</v>
      </c>
      <c r="AG82">
        <v>2</v>
      </c>
      <c r="AH82">
        <v>3</v>
      </c>
      <c r="AK82">
        <v>600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v>1216</v>
      </c>
      <c r="B83" t="s">
        <v>748</v>
      </c>
      <c r="C83">
        <v>-25.9741</v>
      </c>
      <c r="D83">
        <v>152.876</v>
      </c>
      <c r="AQ83">
        <v>8900</v>
      </c>
    </row>
    <row r="84" spans="1:44" x14ac:dyDescent="0.25">
      <c r="A84">
        <v>560</v>
      </c>
      <c r="B84" t="s">
        <v>516</v>
      </c>
      <c r="C84">
        <v>-25.976310000000002</v>
      </c>
      <c r="D84">
        <v>153.06869</v>
      </c>
      <c r="AP84">
        <v>0</v>
      </c>
      <c r="AQ84">
        <v>0</v>
      </c>
    </row>
    <row r="85" spans="1:44" x14ac:dyDescent="0.25">
      <c r="A85">
        <v>578</v>
      </c>
      <c r="B85" t="s">
        <v>517</v>
      </c>
      <c r="C85">
        <v>-25.9983</v>
      </c>
      <c r="D85">
        <v>152.75659999999999</v>
      </c>
      <c r="AQ85">
        <v>0</v>
      </c>
    </row>
    <row r="86" spans="1:44" x14ac:dyDescent="0.25">
      <c r="A86">
        <v>350</v>
      </c>
      <c r="B86" t="s">
        <v>11</v>
      </c>
      <c r="C86">
        <v>-26.04852</v>
      </c>
      <c r="D86">
        <v>152.77798999999999</v>
      </c>
      <c r="F86">
        <v>1000</v>
      </c>
      <c r="G86">
        <v>150</v>
      </c>
      <c r="H86">
        <v>1500</v>
      </c>
      <c r="I86">
        <v>4500</v>
      </c>
      <c r="K86">
        <v>0</v>
      </c>
      <c r="L86">
        <v>0</v>
      </c>
      <c r="Q86">
        <v>10500</v>
      </c>
      <c r="R86">
        <v>2500</v>
      </c>
      <c r="S86">
        <v>0</v>
      </c>
      <c r="T86">
        <v>0</v>
      </c>
      <c r="U86">
        <v>2850</v>
      </c>
      <c r="W86">
        <v>50</v>
      </c>
      <c r="X86">
        <v>0</v>
      </c>
      <c r="Y86">
        <v>400</v>
      </c>
      <c r="Z86">
        <v>4000</v>
      </c>
      <c r="AA86">
        <v>0</v>
      </c>
      <c r="AB86">
        <v>5000</v>
      </c>
      <c r="AD86">
        <v>12000</v>
      </c>
      <c r="AG86">
        <v>15</v>
      </c>
      <c r="AH86">
        <v>0</v>
      </c>
      <c r="AK86">
        <v>400</v>
      </c>
      <c r="AO86">
        <v>0</v>
      </c>
      <c r="AP86">
        <v>0</v>
      </c>
      <c r="AQ86">
        <v>0</v>
      </c>
    </row>
    <row r="87" spans="1:44" x14ac:dyDescent="0.25">
      <c r="A87">
        <v>1248</v>
      </c>
      <c r="B87" t="s">
        <v>749</v>
      </c>
      <c r="C87">
        <v>-26.136099999999999</v>
      </c>
      <c r="D87">
        <v>152.00299999999999</v>
      </c>
      <c r="AO87">
        <v>50</v>
      </c>
    </row>
    <row r="88" spans="1:44" x14ac:dyDescent="0.25">
      <c r="A88">
        <v>161</v>
      </c>
      <c r="B88" t="s">
        <v>84</v>
      </c>
      <c r="C88">
        <v>-26.182200000000002</v>
      </c>
      <c r="D88">
        <v>152.63839999999999</v>
      </c>
      <c r="E88">
        <v>6000</v>
      </c>
      <c r="F88">
        <v>30000</v>
      </c>
      <c r="G88">
        <v>300</v>
      </c>
      <c r="H88">
        <v>13500</v>
      </c>
      <c r="I88">
        <v>1650</v>
      </c>
      <c r="J88">
        <v>200</v>
      </c>
      <c r="K88">
        <v>7546</v>
      </c>
      <c r="L88">
        <v>20000</v>
      </c>
      <c r="M88">
        <v>40000</v>
      </c>
      <c r="P88">
        <v>76000</v>
      </c>
      <c r="Q88">
        <v>24500</v>
      </c>
      <c r="R88">
        <v>13500</v>
      </c>
      <c r="S88">
        <v>5000</v>
      </c>
      <c r="T88">
        <v>0</v>
      </c>
      <c r="U88">
        <v>9000</v>
      </c>
      <c r="V88">
        <v>1132</v>
      </c>
      <c r="W88">
        <v>80</v>
      </c>
      <c r="X88">
        <v>7500</v>
      </c>
      <c r="Z88">
        <v>2000</v>
      </c>
      <c r="AA88">
        <v>0</v>
      </c>
      <c r="AB88">
        <v>0</v>
      </c>
      <c r="AC88">
        <v>0</v>
      </c>
      <c r="AD88">
        <v>6000</v>
      </c>
      <c r="AE88">
        <v>0</v>
      </c>
      <c r="AF88">
        <v>0</v>
      </c>
      <c r="AG88">
        <v>0</v>
      </c>
      <c r="AH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v>1197</v>
      </c>
      <c r="B89" t="s">
        <v>750</v>
      </c>
      <c r="C89">
        <v>-26.183199999999999</v>
      </c>
      <c r="D89">
        <v>152.65989999999999</v>
      </c>
      <c r="AK89">
        <v>500</v>
      </c>
      <c r="AO89">
        <v>1497</v>
      </c>
      <c r="AP89">
        <v>20918</v>
      </c>
      <c r="AQ89">
        <v>20632</v>
      </c>
      <c r="AR89">
        <v>6398</v>
      </c>
    </row>
    <row r="90" spans="1:44" x14ac:dyDescent="0.25">
      <c r="A90">
        <v>716</v>
      </c>
      <c r="B90" t="s">
        <v>273</v>
      </c>
      <c r="C90">
        <v>-26.190785000000002</v>
      </c>
      <c r="D90">
        <v>152.80948699999999</v>
      </c>
      <c r="G90">
        <v>0</v>
      </c>
      <c r="H90">
        <v>0</v>
      </c>
      <c r="I90">
        <v>450</v>
      </c>
      <c r="J90">
        <v>0</v>
      </c>
      <c r="L90">
        <v>0</v>
      </c>
    </row>
    <row r="91" spans="1:44" x14ac:dyDescent="0.25">
      <c r="A91">
        <v>1006</v>
      </c>
      <c r="B91" t="s">
        <v>518</v>
      </c>
      <c r="C91">
        <v>-26.2395</v>
      </c>
      <c r="D91">
        <v>151.93889999999999</v>
      </c>
      <c r="AE91">
        <v>0</v>
      </c>
    </row>
    <row r="92" spans="1:44" x14ac:dyDescent="0.25">
      <c r="A92">
        <v>165</v>
      </c>
      <c r="B92" t="s">
        <v>274</v>
      </c>
      <c r="C92">
        <v>-26.288599999999999</v>
      </c>
      <c r="D92">
        <v>152.97499999999999</v>
      </c>
      <c r="E92">
        <v>2492</v>
      </c>
      <c r="P92">
        <v>0</v>
      </c>
      <c r="T92">
        <v>0</v>
      </c>
      <c r="U92">
        <v>0</v>
      </c>
      <c r="AB92">
        <v>0</v>
      </c>
    </row>
    <row r="93" spans="1:44" x14ac:dyDescent="0.25">
      <c r="A93">
        <v>435</v>
      </c>
      <c r="B93" t="s">
        <v>275</v>
      </c>
      <c r="C93">
        <v>-26.3279</v>
      </c>
      <c r="D93">
        <v>152.9759</v>
      </c>
      <c r="E93">
        <v>0</v>
      </c>
      <c r="P93">
        <v>6</v>
      </c>
      <c r="T93">
        <v>3</v>
      </c>
      <c r="U93">
        <v>10</v>
      </c>
    </row>
    <row r="94" spans="1:44" x14ac:dyDescent="0.25">
      <c r="A94">
        <v>324</v>
      </c>
      <c r="B94" t="s">
        <v>85</v>
      </c>
      <c r="C94">
        <v>-26.337499999999999</v>
      </c>
      <c r="D94">
        <v>152.82640000000001</v>
      </c>
      <c r="E94">
        <v>4750</v>
      </c>
      <c r="F94">
        <v>8000</v>
      </c>
      <c r="G94">
        <v>0</v>
      </c>
      <c r="I94">
        <v>1027</v>
      </c>
      <c r="J94">
        <v>400</v>
      </c>
      <c r="K94">
        <v>70</v>
      </c>
      <c r="L94">
        <v>0</v>
      </c>
      <c r="P94">
        <v>0</v>
      </c>
      <c r="Q94">
        <v>0</v>
      </c>
      <c r="R94">
        <v>3576</v>
      </c>
      <c r="S94">
        <v>6</v>
      </c>
      <c r="T94">
        <v>0</v>
      </c>
      <c r="U94">
        <v>8740</v>
      </c>
      <c r="W94">
        <v>0</v>
      </c>
      <c r="X94">
        <v>0</v>
      </c>
      <c r="Z94">
        <v>1235</v>
      </c>
      <c r="AA94">
        <v>0</v>
      </c>
      <c r="AD94">
        <v>1800</v>
      </c>
      <c r="AE94">
        <v>0</v>
      </c>
      <c r="AG94">
        <v>0</v>
      </c>
      <c r="AH94">
        <v>1000</v>
      </c>
      <c r="AK94">
        <v>760</v>
      </c>
      <c r="AO94">
        <v>1052</v>
      </c>
      <c r="AQ94">
        <v>1900</v>
      </c>
    </row>
    <row r="95" spans="1:44" x14ac:dyDescent="0.25">
      <c r="A95">
        <v>311</v>
      </c>
      <c r="B95" t="s">
        <v>519</v>
      </c>
      <c r="C95">
        <v>-26.359749999999998</v>
      </c>
      <c r="D95">
        <v>146.27635000000001</v>
      </c>
      <c r="U95">
        <v>0</v>
      </c>
      <c r="AO95">
        <v>0</v>
      </c>
      <c r="AP95">
        <v>0</v>
      </c>
      <c r="AQ95">
        <v>0</v>
      </c>
    </row>
    <row r="96" spans="1:44" x14ac:dyDescent="0.25">
      <c r="A96">
        <v>781</v>
      </c>
      <c r="B96" t="s">
        <v>12</v>
      </c>
      <c r="C96">
        <v>-26.400669000000001</v>
      </c>
      <c r="D96">
        <v>153.04908599999999</v>
      </c>
      <c r="J96">
        <v>0</v>
      </c>
      <c r="K96">
        <v>15901</v>
      </c>
      <c r="L96">
        <v>883</v>
      </c>
      <c r="M96">
        <v>3</v>
      </c>
      <c r="N96">
        <v>53600</v>
      </c>
      <c r="P96">
        <v>8000</v>
      </c>
      <c r="Q96">
        <v>4200</v>
      </c>
      <c r="R96">
        <v>3000</v>
      </c>
      <c r="T96">
        <v>200</v>
      </c>
      <c r="U96">
        <v>345</v>
      </c>
      <c r="W96">
        <v>3600</v>
      </c>
      <c r="X96">
        <v>6750</v>
      </c>
      <c r="Y96">
        <v>0</v>
      </c>
      <c r="Z96">
        <v>5684</v>
      </c>
      <c r="AA96">
        <v>0</v>
      </c>
      <c r="AB96">
        <v>48000</v>
      </c>
      <c r="AD96">
        <v>3500</v>
      </c>
      <c r="AF96">
        <v>0</v>
      </c>
      <c r="AO96">
        <v>0</v>
      </c>
      <c r="AQ96">
        <v>38389</v>
      </c>
    </row>
    <row r="97" spans="1:44" x14ac:dyDescent="0.25">
      <c r="A97">
        <v>164</v>
      </c>
      <c r="B97" t="s">
        <v>13</v>
      </c>
      <c r="C97">
        <v>-26.406700000000001</v>
      </c>
      <c r="D97">
        <v>152.70808</v>
      </c>
      <c r="E97">
        <v>56252</v>
      </c>
      <c r="F97">
        <v>30000</v>
      </c>
      <c r="G97">
        <v>16677</v>
      </c>
      <c r="H97">
        <v>22414</v>
      </c>
      <c r="I97">
        <v>30348</v>
      </c>
      <c r="J97">
        <v>18135</v>
      </c>
      <c r="L97">
        <v>7030</v>
      </c>
      <c r="N97">
        <v>43738</v>
      </c>
      <c r="P97">
        <v>17859</v>
      </c>
      <c r="Q97">
        <v>35764</v>
      </c>
      <c r="R97">
        <v>0</v>
      </c>
      <c r="S97">
        <v>0</v>
      </c>
      <c r="T97">
        <v>22378</v>
      </c>
      <c r="U97">
        <v>2891</v>
      </c>
      <c r="V97">
        <v>317</v>
      </c>
      <c r="W97">
        <v>31758</v>
      </c>
      <c r="X97">
        <v>225</v>
      </c>
      <c r="Y97">
        <v>10180</v>
      </c>
      <c r="Z97">
        <v>23826</v>
      </c>
      <c r="AA97">
        <v>587</v>
      </c>
      <c r="AB97">
        <v>40000</v>
      </c>
      <c r="AD97">
        <v>27390</v>
      </c>
      <c r="AF97">
        <v>0</v>
      </c>
      <c r="AG97">
        <v>92</v>
      </c>
      <c r="AH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v>187</v>
      </c>
      <c r="B98" t="s">
        <v>276</v>
      </c>
      <c r="C98">
        <v>-26.408100000000001</v>
      </c>
      <c r="D98">
        <v>153.0745</v>
      </c>
      <c r="E98">
        <v>280</v>
      </c>
      <c r="F98">
        <v>190</v>
      </c>
      <c r="G98">
        <v>0</v>
      </c>
      <c r="H98">
        <v>50</v>
      </c>
      <c r="I98">
        <v>0</v>
      </c>
      <c r="K98">
        <v>0</v>
      </c>
      <c r="P98">
        <v>0</v>
      </c>
      <c r="Q98">
        <v>0</v>
      </c>
      <c r="R98">
        <v>0</v>
      </c>
      <c r="S98">
        <v>0</v>
      </c>
      <c r="U98">
        <v>0</v>
      </c>
      <c r="V98">
        <v>0</v>
      </c>
      <c r="Y98">
        <v>0</v>
      </c>
      <c r="Z98">
        <v>0</v>
      </c>
      <c r="AB98">
        <v>0</v>
      </c>
    </row>
    <row r="99" spans="1:44" x14ac:dyDescent="0.25">
      <c r="A99">
        <v>1257</v>
      </c>
      <c r="B99" t="s">
        <v>751</v>
      </c>
      <c r="C99">
        <v>-26.460419999999999</v>
      </c>
      <c r="D99">
        <v>152.6848</v>
      </c>
      <c r="AP99">
        <v>5212</v>
      </c>
      <c r="AQ99">
        <v>0</v>
      </c>
      <c r="AR99">
        <v>0</v>
      </c>
    </row>
    <row r="100" spans="1:44" x14ac:dyDescent="0.25">
      <c r="A100">
        <v>369</v>
      </c>
      <c r="B100" t="s">
        <v>520</v>
      </c>
      <c r="C100">
        <v>-26.527539999999998</v>
      </c>
      <c r="D100">
        <v>151.81249</v>
      </c>
      <c r="E100">
        <v>0</v>
      </c>
      <c r="AB100">
        <v>0</v>
      </c>
      <c r="AG100">
        <v>0</v>
      </c>
      <c r="AH100">
        <v>0</v>
      </c>
    </row>
    <row r="101" spans="1:44" x14ac:dyDescent="0.25">
      <c r="A101">
        <v>322</v>
      </c>
      <c r="B101" t="s">
        <v>86</v>
      </c>
      <c r="C101">
        <v>-26.532799600000001</v>
      </c>
      <c r="D101">
        <v>153.08549600000001</v>
      </c>
      <c r="F101">
        <v>0</v>
      </c>
      <c r="J101">
        <v>0</v>
      </c>
      <c r="T101">
        <v>79</v>
      </c>
      <c r="U101">
        <v>345</v>
      </c>
      <c r="V101">
        <v>405</v>
      </c>
      <c r="W101">
        <v>846</v>
      </c>
      <c r="X101">
        <v>0</v>
      </c>
      <c r="Y101">
        <v>209</v>
      </c>
      <c r="Z101">
        <v>355</v>
      </c>
      <c r="AC101">
        <v>80</v>
      </c>
      <c r="AD101">
        <v>365</v>
      </c>
      <c r="AE101">
        <v>0</v>
      </c>
      <c r="AF101">
        <v>161</v>
      </c>
      <c r="AG101">
        <v>104</v>
      </c>
      <c r="AH101">
        <v>645</v>
      </c>
      <c r="AK101">
        <v>455</v>
      </c>
      <c r="AO101">
        <v>0</v>
      </c>
      <c r="AP101">
        <v>35</v>
      </c>
      <c r="AQ101">
        <v>25</v>
      </c>
    </row>
    <row r="102" spans="1:44" x14ac:dyDescent="0.25">
      <c r="A102">
        <v>323</v>
      </c>
      <c r="B102" t="s">
        <v>521</v>
      </c>
      <c r="C102">
        <v>-26.548500000000001</v>
      </c>
      <c r="D102">
        <v>153.08654999999999</v>
      </c>
      <c r="E102">
        <v>0</v>
      </c>
    </row>
    <row r="103" spans="1:44" x14ac:dyDescent="0.25">
      <c r="A103">
        <v>295</v>
      </c>
      <c r="B103" t="s">
        <v>277</v>
      </c>
      <c r="C103">
        <v>-26.573979999999999</v>
      </c>
      <c r="D103">
        <v>148.81475</v>
      </c>
      <c r="M103">
        <v>0</v>
      </c>
      <c r="U103">
        <v>0</v>
      </c>
      <c r="AC103">
        <v>0</v>
      </c>
      <c r="AD103">
        <v>0</v>
      </c>
      <c r="AF103">
        <v>0</v>
      </c>
      <c r="AK103">
        <v>0</v>
      </c>
      <c r="AQ103">
        <v>0</v>
      </c>
    </row>
    <row r="104" spans="1:44" x14ac:dyDescent="0.25">
      <c r="A104">
        <v>404</v>
      </c>
      <c r="B104" t="s">
        <v>522</v>
      </c>
      <c r="C104">
        <v>-26.611249999999998</v>
      </c>
      <c r="D104">
        <v>152.97368299999999</v>
      </c>
      <c r="E104">
        <v>0</v>
      </c>
      <c r="F104">
        <v>0</v>
      </c>
      <c r="G104">
        <v>0</v>
      </c>
      <c r="I104">
        <v>0</v>
      </c>
      <c r="O104">
        <v>0</v>
      </c>
      <c r="Q104">
        <v>0</v>
      </c>
      <c r="R104">
        <v>0</v>
      </c>
      <c r="W104">
        <v>0</v>
      </c>
    </row>
    <row r="105" spans="1:44" x14ac:dyDescent="0.25">
      <c r="A105">
        <v>390</v>
      </c>
      <c r="B105" t="s">
        <v>87</v>
      </c>
      <c r="C105">
        <v>-26.650770000000001</v>
      </c>
      <c r="D105">
        <v>153.07114999999999</v>
      </c>
      <c r="E105">
        <v>3000</v>
      </c>
      <c r="F105">
        <v>750</v>
      </c>
      <c r="G105">
        <v>3000</v>
      </c>
      <c r="H105">
        <v>3500</v>
      </c>
      <c r="I105">
        <v>725</v>
      </c>
      <c r="J105">
        <v>31</v>
      </c>
      <c r="K105">
        <v>19224</v>
      </c>
      <c r="L105">
        <v>0</v>
      </c>
      <c r="M105">
        <v>1456</v>
      </c>
      <c r="N105">
        <v>515</v>
      </c>
      <c r="O105">
        <v>12000</v>
      </c>
      <c r="P105">
        <v>0</v>
      </c>
      <c r="Q105">
        <v>0</v>
      </c>
      <c r="R105">
        <v>300</v>
      </c>
      <c r="S105">
        <v>0</v>
      </c>
      <c r="T105">
        <v>0</v>
      </c>
      <c r="U105">
        <v>0</v>
      </c>
      <c r="V105">
        <v>197</v>
      </c>
      <c r="W105">
        <v>0</v>
      </c>
      <c r="X105">
        <v>0</v>
      </c>
      <c r="Y105">
        <v>12</v>
      </c>
      <c r="Z105">
        <v>495</v>
      </c>
      <c r="AA105">
        <v>0</v>
      </c>
      <c r="AB105">
        <v>0</v>
      </c>
      <c r="AC105">
        <v>300</v>
      </c>
      <c r="AD105">
        <v>300</v>
      </c>
      <c r="AE105">
        <v>0</v>
      </c>
      <c r="AF105">
        <v>0</v>
      </c>
      <c r="AG105">
        <v>55</v>
      </c>
      <c r="AH105">
        <v>350</v>
      </c>
      <c r="AK105">
        <v>0</v>
      </c>
      <c r="AO105">
        <v>0</v>
      </c>
      <c r="AP105">
        <v>0</v>
      </c>
      <c r="AQ105">
        <v>0</v>
      </c>
    </row>
    <row r="106" spans="1:44" x14ac:dyDescent="0.25">
      <c r="A106">
        <v>1013</v>
      </c>
      <c r="B106" t="s">
        <v>523</v>
      </c>
      <c r="C106">
        <v>-26.660730999999998</v>
      </c>
      <c r="D106">
        <v>153.056141</v>
      </c>
      <c r="AF106">
        <v>705</v>
      </c>
      <c r="AG106">
        <v>645</v>
      </c>
      <c r="AH106">
        <v>60</v>
      </c>
      <c r="AK106">
        <v>2155</v>
      </c>
      <c r="AO106">
        <v>0</v>
      </c>
      <c r="AP106">
        <v>1059</v>
      </c>
    </row>
    <row r="107" spans="1:44" x14ac:dyDescent="0.25">
      <c r="A107">
        <v>1285</v>
      </c>
      <c r="B107" t="s">
        <v>832</v>
      </c>
      <c r="C107">
        <v>-26.6614</v>
      </c>
      <c r="D107">
        <v>153.0617</v>
      </c>
      <c r="AQ107">
        <v>1604</v>
      </c>
    </row>
    <row r="108" spans="1:44" x14ac:dyDescent="0.25">
      <c r="A108">
        <v>395</v>
      </c>
      <c r="B108" t="s">
        <v>88</v>
      </c>
      <c r="C108">
        <v>-26.682433</v>
      </c>
      <c r="D108">
        <v>153.107033</v>
      </c>
      <c r="E108">
        <v>0</v>
      </c>
      <c r="F108">
        <v>0</v>
      </c>
      <c r="G108">
        <v>0</v>
      </c>
      <c r="H108">
        <v>0</v>
      </c>
      <c r="K108">
        <v>0</v>
      </c>
      <c r="N108">
        <v>0</v>
      </c>
      <c r="O108">
        <v>0</v>
      </c>
      <c r="P108">
        <v>40</v>
      </c>
      <c r="Q108">
        <v>20</v>
      </c>
      <c r="R108">
        <v>250</v>
      </c>
      <c r="S108">
        <v>0</v>
      </c>
      <c r="T108">
        <v>0</v>
      </c>
      <c r="U108">
        <v>18</v>
      </c>
      <c r="V108">
        <v>750</v>
      </c>
      <c r="W108">
        <v>0</v>
      </c>
      <c r="X108">
        <v>0</v>
      </c>
      <c r="Y108">
        <v>38</v>
      </c>
      <c r="Z108">
        <v>58</v>
      </c>
      <c r="AB108">
        <v>0</v>
      </c>
      <c r="AC108">
        <v>5</v>
      </c>
      <c r="AD108">
        <v>156</v>
      </c>
      <c r="AE108">
        <v>0</v>
      </c>
      <c r="AF108">
        <v>0</v>
      </c>
      <c r="AG108">
        <v>140</v>
      </c>
      <c r="AK108">
        <v>0</v>
      </c>
      <c r="AO108">
        <v>0</v>
      </c>
      <c r="AP108">
        <v>10</v>
      </c>
      <c r="AQ108">
        <v>0</v>
      </c>
    </row>
    <row r="109" spans="1:44" x14ac:dyDescent="0.25">
      <c r="A109">
        <v>789</v>
      </c>
      <c r="B109" t="s">
        <v>89</v>
      </c>
      <c r="C109">
        <v>-26.682500000000001</v>
      </c>
      <c r="D109">
        <v>152.96180000000001</v>
      </c>
      <c r="K109">
        <v>0</v>
      </c>
      <c r="M109">
        <v>1500</v>
      </c>
      <c r="N109">
        <v>2000</v>
      </c>
      <c r="O109">
        <v>0</v>
      </c>
      <c r="P109">
        <v>10000</v>
      </c>
      <c r="R109">
        <v>16000</v>
      </c>
      <c r="V109">
        <v>2500</v>
      </c>
      <c r="W109">
        <v>4750</v>
      </c>
      <c r="Y109">
        <v>0</v>
      </c>
      <c r="Z109">
        <v>2700</v>
      </c>
      <c r="AB109">
        <v>50</v>
      </c>
      <c r="AF109">
        <v>0</v>
      </c>
    </row>
    <row r="110" spans="1:44" x14ac:dyDescent="0.25">
      <c r="A110">
        <v>1012</v>
      </c>
      <c r="B110" t="s">
        <v>524</v>
      </c>
      <c r="C110">
        <v>-26.686299999999999</v>
      </c>
      <c r="D110">
        <v>152.96039200000001</v>
      </c>
      <c r="AF110">
        <v>5880</v>
      </c>
      <c r="AG110">
        <v>2670</v>
      </c>
      <c r="AK110">
        <v>306</v>
      </c>
      <c r="AO110">
        <v>249</v>
      </c>
      <c r="AP110">
        <v>248</v>
      </c>
    </row>
    <row r="111" spans="1:44" x14ac:dyDescent="0.25">
      <c r="A111">
        <v>418</v>
      </c>
      <c r="B111" t="s">
        <v>278</v>
      </c>
      <c r="C111">
        <v>-26.690982999999999</v>
      </c>
      <c r="D111">
        <v>152.95397500000001</v>
      </c>
      <c r="E111">
        <v>0</v>
      </c>
      <c r="G111">
        <v>1000</v>
      </c>
      <c r="H111">
        <v>0</v>
      </c>
      <c r="I111">
        <v>1600</v>
      </c>
      <c r="J111">
        <v>660</v>
      </c>
      <c r="K111">
        <v>0</v>
      </c>
      <c r="N111">
        <v>0</v>
      </c>
      <c r="O111">
        <v>0</v>
      </c>
      <c r="P111">
        <v>0</v>
      </c>
      <c r="S111">
        <v>0</v>
      </c>
      <c r="T111">
        <v>1000</v>
      </c>
      <c r="U111">
        <v>7000</v>
      </c>
      <c r="V111">
        <v>0</v>
      </c>
      <c r="Y111">
        <v>0</v>
      </c>
      <c r="Z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K111">
        <v>0</v>
      </c>
      <c r="AO111">
        <v>0</v>
      </c>
      <c r="AP111">
        <v>0</v>
      </c>
      <c r="AQ111">
        <v>0</v>
      </c>
    </row>
    <row r="112" spans="1:44" x14ac:dyDescent="0.25">
      <c r="A112">
        <v>317</v>
      </c>
      <c r="B112" t="s">
        <v>279</v>
      </c>
      <c r="C112">
        <v>-26.727644999999999</v>
      </c>
      <c r="D112">
        <v>152.71988300000001</v>
      </c>
      <c r="E112">
        <v>0</v>
      </c>
      <c r="F112">
        <v>0</v>
      </c>
      <c r="G112">
        <v>0</v>
      </c>
      <c r="H112">
        <v>1250</v>
      </c>
      <c r="I112">
        <v>1800</v>
      </c>
      <c r="K112">
        <v>0</v>
      </c>
      <c r="N112">
        <v>0</v>
      </c>
      <c r="O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Z112">
        <v>0</v>
      </c>
      <c r="AR112">
        <v>0</v>
      </c>
    </row>
    <row r="113" spans="1:44" x14ac:dyDescent="0.25">
      <c r="A113">
        <v>1262</v>
      </c>
      <c r="B113" t="s">
        <v>752</v>
      </c>
      <c r="C113">
        <v>-26.736169</v>
      </c>
      <c r="D113">
        <v>150.622681</v>
      </c>
      <c r="AP113">
        <v>0</v>
      </c>
      <c r="AQ113">
        <v>0</v>
      </c>
    </row>
    <row r="114" spans="1:44" x14ac:dyDescent="0.25">
      <c r="A114">
        <v>1204</v>
      </c>
      <c r="B114" t="s">
        <v>753</v>
      </c>
      <c r="C114">
        <v>-26.748699999999999</v>
      </c>
      <c r="D114">
        <v>150.63069999999999</v>
      </c>
      <c r="AK114">
        <v>0</v>
      </c>
    </row>
    <row r="115" spans="1:44" x14ac:dyDescent="0.25">
      <c r="A115">
        <v>313</v>
      </c>
      <c r="B115" t="s">
        <v>280</v>
      </c>
      <c r="C115">
        <v>-26.75057</v>
      </c>
      <c r="D115">
        <v>150.62288000000001</v>
      </c>
      <c r="E115">
        <v>0</v>
      </c>
      <c r="G115">
        <v>0</v>
      </c>
      <c r="L115">
        <v>0</v>
      </c>
      <c r="AB115">
        <v>0</v>
      </c>
    </row>
    <row r="116" spans="1:44" x14ac:dyDescent="0.25">
      <c r="A116">
        <v>943</v>
      </c>
      <c r="B116" t="s">
        <v>90</v>
      </c>
      <c r="C116">
        <v>-26.757688000000002</v>
      </c>
      <c r="D116">
        <v>153.04587900000001</v>
      </c>
      <c r="X116">
        <v>0</v>
      </c>
      <c r="Y116">
        <v>0</v>
      </c>
      <c r="AC116">
        <v>40</v>
      </c>
      <c r="AD116">
        <v>140</v>
      </c>
      <c r="AE116">
        <v>110</v>
      </c>
      <c r="AF116">
        <v>260</v>
      </c>
      <c r="AG116">
        <v>620</v>
      </c>
      <c r="AK116">
        <v>0</v>
      </c>
    </row>
    <row r="117" spans="1:44" x14ac:dyDescent="0.25">
      <c r="A117">
        <v>1014</v>
      </c>
      <c r="B117" t="s">
        <v>525</v>
      </c>
      <c r="C117">
        <v>-26.760769</v>
      </c>
      <c r="D117">
        <v>152.85239999999999</v>
      </c>
      <c r="AF117">
        <v>640</v>
      </c>
      <c r="AG117">
        <v>3635</v>
      </c>
      <c r="AH117">
        <v>20220</v>
      </c>
      <c r="AK117">
        <v>9500</v>
      </c>
      <c r="AO117">
        <v>6199</v>
      </c>
      <c r="AP117">
        <v>5911</v>
      </c>
      <c r="AQ117">
        <v>800</v>
      </c>
      <c r="AR117">
        <v>585</v>
      </c>
    </row>
    <row r="118" spans="1:44" x14ac:dyDescent="0.25">
      <c r="A118">
        <v>879</v>
      </c>
      <c r="B118" t="s">
        <v>91</v>
      </c>
      <c r="C118">
        <v>-26.7775</v>
      </c>
      <c r="D118">
        <v>152.8811</v>
      </c>
      <c r="U118">
        <v>945</v>
      </c>
      <c r="V118">
        <v>1104</v>
      </c>
      <c r="W118">
        <v>370</v>
      </c>
      <c r="X118">
        <v>2310</v>
      </c>
      <c r="Y118">
        <v>2376</v>
      </c>
      <c r="Z118">
        <v>2017</v>
      </c>
      <c r="AC118">
        <v>868</v>
      </c>
      <c r="AD118">
        <v>1950</v>
      </c>
      <c r="AE118">
        <v>35</v>
      </c>
      <c r="AF118">
        <v>300</v>
      </c>
      <c r="AG118">
        <v>0</v>
      </c>
      <c r="AH118">
        <v>0</v>
      </c>
      <c r="AK118">
        <v>0</v>
      </c>
      <c r="AP118">
        <v>0</v>
      </c>
      <c r="AQ118">
        <v>0</v>
      </c>
    </row>
    <row r="119" spans="1:44" x14ac:dyDescent="0.25">
      <c r="A119">
        <v>1205</v>
      </c>
      <c r="B119" t="s">
        <v>754</v>
      </c>
      <c r="C119">
        <v>-26.7791</v>
      </c>
      <c r="D119">
        <v>151.11000000000001</v>
      </c>
      <c r="AK119">
        <v>0</v>
      </c>
    </row>
    <row r="120" spans="1:44" x14ac:dyDescent="0.25">
      <c r="A120">
        <v>1009</v>
      </c>
      <c r="B120" t="s">
        <v>92</v>
      </c>
      <c r="C120">
        <v>-26.783840999999999</v>
      </c>
      <c r="D120">
        <v>153.127408</v>
      </c>
      <c r="AE120">
        <v>3200</v>
      </c>
      <c r="AF120">
        <v>0</v>
      </c>
      <c r="AG120">
        <v>210</v>
      </c>
      <c r="AH120">
        <v>410</v>
      </c>
      <c r="AK120">
        <v>0</v>
      </c>
      <c r="AO120">
        <v>0</v>
      </c>
      <c r="AP120">
        <v>5</v>
      </c>
      <c r="AQ120">
        <v>23</v>
      </c>
    </row>
    <row r="121" spans="1:44" x14ac:dyDescent="0.25">
      <c r="A121">
        <v>460</v>
      </c>
      <c r="B121" t="s">
        <v>93</v>
      </c>
      <c r="C121">
        <v>-26.788057999999999</v>
      </c>
      <c r="D121">
        <v>153.136706</v>
      </c>
      <c r="E121">
        <v>0</v>
      </c>
      <c r="F121">
        <v>0</v>
      </c>
      <c r="G121">
        <v>1140</v>
      </c>
      <c r="H121">
        <v>2000</v>
      </c>
      <c r="I121">
        <v>100</v>
      </c>
      <c r="J121">
        <v>0</v>
      </c>
      <c r="N121">
        <v>20</v>
      </c>
      <c r="O121">
        <v>0</v>
      </c>
      <c r="P121">
        <v>0</v>
      </c>
      <c r="Q121">
        <v>3</v>
      </c>
      <c r="R121">
        <v>0</v>
      </c>
      <c r="S121">
        <v>0</v>
      </c>
      <c r="T121">
        <v>0</v>
      </c>
      <c r="U121">
        <v>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995</v>
      </c>
      <c r="AB121">
        <v>0</v>
      </c>
      <c r="AC121">
        <v>51</v>
      </c>
      <c r="AD121">
        <v>30</v>
      </c>
      <c r="AE121">
        <v>0</v>
      </c>
      <c r="AF121">
        <v>405</v>
      </c>
      <c r="AG121">
        <v>0</v>
      </c>
      <c r="AH121">
        <v>0</v>
      </c>
      <c r="AK121">
        <v>0</v>
      </c>
      <c r="AO121">
        <v>0</v>
      </c>
      <c r="AP121">
        <v>0</v>
      </c>
      <c r="AQ121">
        <v>0</v>
      </c>
    </row>
    <row r="122" spans="1:44" x14ac:dyDescent="0.25">
      <c r="A122">
        <v>374</v>
      </c>
      <c r="B122" t="s">
        <v>94</v>
      </c>
      <c r="C122">
        <v>-26.799717000000001</v>
      </c>
      <c r="D122">
        <v>152.96536699999999</v>
      </c>
      <c r="E122">
        <v>3040</v>
      </c>
      <c r="F122">
        <v>5550</v>
      </c>
      <c r="G122">
        <v>400</v>
      </c>
      <c r="H122">
        <v>900</v>
      </c>
      <c r="I122">
        <v>1490</v>
      </c>
      <c r="K122">
        <v>0</v>
      </c>
      <c r="M122">
        <v>1920</v>
      </c>
      <c r="O122">
        <v>0</v>
      </c>
      <c r="Q122">
        <v>1190</v>
      </c>
      <c r="R122">
        <v>1560</v>
      </c>
      <c r="S122">
        <v>0</v>
      </c>
      <c r="T122">
        <v>0</v>
      </c>
      <c r="U122">
        <v>566</v>
      </c>
      <c r="V122">
        <v>1390</v>
      </c>
      <c r="W122">
        <v>0</v>
      </c>
      <c r="X122">
        <v>0</v>
      </c>
      <c r="Y122">
        <v>2418</v>
      </c>
      <c r="Z122">
        <v>3315</v>
      </c>
      <c r="AA122">
        <v>0</v>
      </c>
      <c r="AC122">
        <v>0</v>
      </c>
      <c r="AD122">
        <v>1397</v>
      </c>
      <c r="AE122">
        <v>0</v>
      </c>
      <c r="AF122">
        <v>865</v>
      </c>
      <c r="AG122">
        <v>0</v>
      </c>
      <c r="AH122">
        <v>0</v>
      </c>
      <c r="AK122">
        <v>0</v>
      </c>
      <c r="AO122">
        <v>0</v>
      </c>
      <c r="AP122">
        <v>0</v>
      </c>
      <c r="AQ122">
        <v>0</v>
      </c>
    </row>
    <row r="123" spans="1:44" x14ac:dyDescent="0.25">
      <c r="A123">
        <v>557</v>
      </c>
      <c r="B123" t="s">
        <v>281</v>
      </c>
      <c r="C123">
        <v>-26.801210000000001</v>
      </c>
      <c r="D123">
        <v>150.58125999999999</v>
      </c>
      <c r="E123">
        <v>0</v>
      </c>
      <c r="G123">
        <v>0</v>
      </c>
      <c r="AD123">
        <v>0</v>
      </c>
      <c r="AF123">
        <v>0</v>
      </c>
      <c r="AG123">
        <v>0</v>
      </c>
    </row>
    <row r="124" spans="1:44" x14ac:dyDescent="0.25">
      <c r="A124">
        <v>176</v>
      </c>
      <c r="B124" t="s">
        <v>282</v>
      </c>
      <c r="C124">
        <v>-26.8232</v>
      </c>
      <c r="D124">
        <v>152.88730000000001</v>
      </c>
      <c r="F124">
        <v>7280</v>
      </c>
      <c r="O124">
        <v>0</v>
      </c>
    </row>
    <row r="125" spans="1:44" x14ac:dyDescent="0.25">
      <c r="A125">
        <v>552</v>
      </c>
      <c r="B125" t="s">
        <v>283</v>
      </c>
      <c r="C125">
        <v>-26.841322000000002</v>
      </c>
      <c r="D125">
        <v>152.278415</v>
      </c>
      <c r="E125">
        <v>100</v>
      </c>
      <c r="F125">
        <v>0</v>
      </c>
      <c r="G125">
        <v>290</v>
      </c>
      <c r="H125">
        <v>0</v>
      </c>
      <c r="AB125">
        <v>0</v>
      </c>
      <c r="AC125">
        <v>0</v>
      </c>
      <c r="AE125">
        <v>0</v>
      </c>
      <c r="AF125">
        <v>0</v>
      </c>
      <c r="AG125">
        <v>30</v>
      </c>
      <c r="AH125">
        <v>180</v>
      </c>
    </row>
    <row r="126" spans="1:44" x14ac:dyDescent="0.25">
      <c r="A126">
        <v>1211</v>
      </c>
      <c r="B126" t="s">
        <v>755</v>
      </c>
      <c r="C126">
        <v>-26.886399999999998</v>
      </c>
      <c r="D126">
        <v>152.09989999999999</v>
      </c>
      <c r="AQ126">
        <v>650</v>
      </c>
    </row>
    <row r="127" spans="1:44" x14ac:dyDescent="0.25">
      <c r="A127">
        <v>1206</v>
      </c>
      <c r="B127" t="s">
        <v>756</v>
      </c>
      <c r="C127">
        <v>-26.931799999999999</v>
      </c>
      <c r="D127">
        <v>151.45500000000001</v>
      </c>
      <c r="AK127">
        <v>0</v>
      </c>
    </row>
    <row r="128" spans="1:44" x14ac:dyDescent="0.25">
      <c r="A128">
        <v>183</v>
      </c>
      <c r="B128" t="s">
        <v>284</v>
      </c>
      <c r="C128">
        <v>-26.934519999999999</v>
      </c>
      <c r="D128">
        <v>151.87859</v>
      </c>
      <c r="E128">
        <v>6250</v>
      </c>
      <c r="AC128">
        <v>13460</v>
      </c>
      <c r="AE128">
        <v>0</v>
      </c>
      <c r="AF128">
        <v>0</v>
      </c>
      <c r="AG128">
        <v>600</v>
      </c>
      <c r="AH128">
        <v>1000</v>
      </c>
      <c r="AO128">
        <v>427</v>
      </c>
      <c r="AP128">
        <v>1006</v>
      </c>
      <c r="AQ128">
        <v>2000</v>
      </c>
    </row>
    <row r="129" spans="1:44" x14ac:dyDescent="0.25">
      <c r="A129">
        <v>368</v>
      </c>
      <c r="B129" t="s">
        <v>95</v>
      </c>
      <c r="C129">
        <v>-26.941496999999998</v>
      </c>
      <c r="D129">
        <v>152.568748</v>
      </c>
      <c r="E129">
        <v>1000</v>
      </c>
      <c r="F129">
        <v>1000</v>
      </c>
      <c r="G129">
        <v>1000</v>
      </c>
      <c r="I129">
        <v>200</v>
      </c>
      <c r="K129">
        <v>200</v>
      </c>
      <c r="M129">
        <v>20</v>
      </c>
      <c r="O129">
        <v>0</v>
      </c>
      <c r="P129">
        <v>0</v>
      </c>
      <c r="Q129">
        <v>200</v>
      </c>
      <c r="R129">
        <v>150</v>
      </c>
      <c r="S129">
        <v>90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50</v>
      </c>
      <c r="AD129">
        <v>50</v>
      </c>
      <c r="AE129">
        <v>500</v>
      </c>
      <c r="AF129">
        <v>0</v>
      </c>
      <c r="AG129">
        <v>125</v>
      </c>
      <c r="AH129">
        <v>59</v>
      </c>
      <c r="AR129">
        <v>0</v>
      </c>
    </row>
    <row r="130" spans="1:44" x14ac:dyDescent="0.25">
      <c r="A130">
        <v>192</v>
      </c>
      <c r="B130" t="s">
        <v>14</v>
      </c>
      <c r="C130">
        <v>-26.949000000000002</v>
      </c>
      <c r="D130">
        <v>152.77780000000001</v>
      </c>
      <c r="E130">
        <v>2000</v>
      </c>
      <c r="F130">
        <v>2000</v>
      </c>
      <c r="G130">
        <v>2000</v>
      </c>
      <c r="I130">
        <v>2000</v>
      </c>
      <c r="K130">
        <v>500</v>
      </c>
      <c r="M130">
        <v>1000</v>
      </c>
      <c r="O130">
        <v>0</v>
      </c>
      <c r="P130">
        <v>0</v>
      </c>
      <c r="Q130">
        <v>7425</v>
      </c>
      <c r="R130">
        <v>8400</v>
      </c>
      <c r="S130">
        <v>0</v>
      </c>
      <c r="T130">
        <v>2475</v>
      </c>
      <c r="U130">
        <v>1500</v>
      </c>
      <c r="V130">
        <v>8000</v>
      </c>
      <c r="W130">
        <v>3000</v>
      </c>
      <c r="X130">
        <v>0</v>
      </c>
      <c r="Y130">
        <v>2600</v>
      </c>
      <c r="Z130">
        <v>6000</v>
      </c>
      <c r="AA130">
        <v>0</v>
      </c>
      <c r="AB130">
        <v>60000</v>
      </c>
      <c r="AC130">
        <v>1500</v>
      </c>
      <c r="AD130">
        <v>45000</v>
      </c>
      <c r="AE130">
        <v>2027</v>
      </c>
      <c r="AF130">
        <v>0</v>
      </c>
      <c r="AG130">
        <v>0</v>
      </c>
      <c r="AH130">
        <v>8510</v>
      </c>
      <c r="AO130">
        <v>803</v>
      </c>
      <c r="AP130">
        <v>7076</v>
      </c>
      <c r="AQ130">
        <v>235</v>
      </c>
      <c r="AR130">
        <v>0</v>
      </c>
    </row>
    <row r="131" spans="1:44" x14ac:dyDescent="0.25">
      <c r="A131">
        <v>583</v>
      </c>
      <c r="B131" t="s">
        <v>526</v>
      </c>
      <c r="C131">
        <v>-27.057756000000001</v>
      </c>
      <c r="D131">
        <v>153.142425</v>
      </c>
      <c r="AG131">
        <v>216</v>
      </c>
      <c r="AH131">
        <v>160</v>
      </c>
      <c r="AO131">
        <v>0</v>
      </c>
      <c r="AP131">
        <v>160</v>
      </c>
      <c r="AQ131">
        <v>3700</v>
      </c>
    </row>
    <row r="132" spans="1:44" x14ac:dyDescent="0.25">
      <c r="A132">
        <v>1243</v>
      </c>
      <c r="B132" t="s">
        <v>757</v>
      </c>
      <c r="C132">
        <v>-27.076028999999998</v>
      </c>
      <c r="D132">
        <v>153.058652</v>
      </c>
      <c r="AO132">
        <v>0</v>
      </c>
      <c r="AP132">
        <v>0</v>
      </c>
      <c r="AQ132">
        <v>0</v>
      </c>
    </row>
    <row r="133" spans="1:44" x14ac:dyDescent="0.25">
      <c r="A133">
        <v>1278</v>
      </c>
      <c r="B133" t="s">
        <v>758</v>
      </c>
      <c r="C133">
        <v>-27.078671</v>
      </c>
      <c r="D133">
        <v>153.11652699999999</v>
      </c>
      <c r="AP133">
        <v>0</v>
      </c>
      <c r="AQ133">
        <v>3890</v>
      </c>
    </row>
    <row r="134" spans="1:44" x14ac:dyDescent="0.25">
      <c r="A134">
        <v>581</v>
      </c>
      <c r="B134" t="s">
        <v>527</v>
      </c>
      <c r="C134">
        <v>-27.078980000000001</v>
      </c>
      <c r="D134">
        <v>153.15916999999999</v>
      </c>
      <c r="F134">
        <v>0</v>
      </c>
      <c r="AG134">
        <v>869</v>
      </c>
      <c r="AH134">
        <v>70</v>
      </c>
      <c r="AO134">
        <v>0</v>
      </c>
      <c r="AP134">
        <v>0</v>
      </c>
      <c r="AQ134">
        <v>430</v>
      </c>
    </row>
    <row r="135" spans="1:44" x14ac:dyDescent="0.25">
      <c r="A135">
        <v>439</v>
      </c>
      <c r="B135" t="s">
        <v>96</v>
      </c>
      <c r="C135">
        <v>-27.080400000000001</v>
      </c>
      <c r="D135">
        <v>153.12790000000001</v>
      </c>
      <c r="E135">
        <v>240</v>
      </c>
      <c r="F135">
        <v>0</v>
      </c>
      <c r="G135">
        <v>7200</v>
      </c>
      <c r="H135">
        <v>3500</v>
      </c>
      <c r="I135">
        <v>0</v>
      </c>
      <c r="T135">
        <v>0</v>
      </c>
      <c r="U135">
        <v>10</v>
      </c>
      <c r="V135">
        <v>0</v>
      </c>
      <c r="Z135">
        <v>0</v>
      </c>
      <c r="AA135">
        <v>760</v>
      </c>
      <c r="AB135">
        <v>0</v>
      </c>
      <c r="AG135">
        <v>0</v>
      </c>
      <c r="AH135">
        <v>0</v>
      </c>
      <c r="AK135">
        <v>0</v>
      </c>
      <c r="AO135">
        <v>0</v>
      </c>
      <c r="AP135">
        <v>0</v>
      </c>
      <c r="AQ135">
        <v>1290</v>
      </c>
    </row>
    <row r="136" spans="1:44" x14ac:dyDescent="0.25">
      <c r="A136">
        <v>186</v>
      </c>
      <c r="B136" t="s">
        <v>15</v>
      </c>
      <c r="C136">
        <v>-27.082319999999999</v>
      </c>
      <c r="D136">
        <v>152.92756</v>
      </c>
      <c r="E136">
        <v>1000</v>
      </c>
      <c r="F136">
        <v>60</v>
      </c>
      <c r="G136">
        <v>1500</v>
      </c>
      <c r="H136">
        <v>3200</v>
      </c>
      <c r="I136">
        <v>620</v>
      </c>
      <c r="J136">
        <v>0</v>
      </c>
      <c r="K136">
        <v>3600</v>
      </c>
      <c r="N136">
        <v>900</v>
      </c>
      <c r="O136">
        <v>2500</v>
      </c>
      <c r="P136">
        <v>1000</v>
      </c>
      <c r="Q136">
        <v>3000</v>
      </c>
      <c r="R136">
        <v>1400</v>
      </c>
      <c r="S136">
        <v>810</v>
      </c>
      <c r="T136">
        <v>45000</v>
      </c>
      <c r="U136">
        <v>2400</v>
      </c>
      <c r="V136">
        <v>1200</v>
      </c>
      <c r="W136">
        <v>2850</v>
      </c>
      <c r="Y136">
        <v>900</v>
      </c>
      <c r="AB136">
        <v>20000</v>
      </c>
      <c r="AD136">
        <v>600</v>
      </c>
      <c r="AE136">
        <v>110</v>
      </c>
      <c r="AG136">
        <v>470</v>
      </c>
      <c r="AH136">
        <v>540</v>
      </c>
      <c r="AK136">
        <v>600</v>
      </c>
      <c r="AO136">
        <v>866</v>
      </c>
      <c r="AP136">
        <v>840</v>
      </c>
      <c r="AQ136">
        <v>1860</v>
      </c>
    </row>
    <row r="137" spans="1:44" x14ac:dyDescent="0.25">
      <c r="A137">
        <v>1143</v>
      </c>
      <c r="B137" t="s">
        <v>759</v>
      </c>
      <c r="C137">
        <v>-27.109069999999999</v>
      </c>
      <c r="D137">
        <v>152.95599000000001</v>
      </c>
      <c r="AH137">
        <v>0</v>
      </c>
      <c r="AO137">
        <v>0</v>
      </c>
      <c r="AP137">
        <v>0</v>
      </c>
      <c r="AQ137">
        <v>0</v>
      </c>
    </row>
    <row r="138" spans="1:44" x14ac:dyDescent="0.25">
      <c r="A138">
        <v>1268</v>
      </c>
      <c r="B138" t="s">
        <v>760</v>
      </c>
      <c r="C138">
        <v>-27.119980000000002</v>
      </c>
      <c r="D138">
        <v>153.05457699999999</v>
      </c>
      <c r="AP138">
        <v>0</v>
      </c>
      <c r="AQ138">
        <v>0</v>
      </c>
    </row>
    <row r="139" spans="1:44" x14ac:dyDescent="0.25">
      <c r="A139">
        <v>1225</v>
      </c>
      <c r="B139" t="s">
        <v>761</v>
      </c>
      <c r="C139">
        <v>-27.12641</v>
      </c>
      <c r="D139">
        <v>153.05193499999999</v>
      </c>
      <c r="AO139">
        <v>0</v>
      </c>
      <c r="AP139">
        <v>0</v>
      </c>
      <c r="AQ139">
        <v>0</v>
      </c>
    </row>
    <row r="140" spans="1:44" x14ac:dyDescent="0.25">
      <c r="A140">
        <v>1144</v>
      </c>
      <c r="B140" t="s">
        <v>762</v>
      </c>
      <c r="C140">
        <v>-27.127230000000001</v>
      </c>
      <c r="D140">
        <v>153.04713000000001</v>
      </c>
      <c r="AH140">
        <v>0</v>
      </c>
      <c r="AK140">
        <v>0</v>
      </c>
      <c r="AO140">
        <v>0</v>
      </c>
      <c r="AP140">
        <v>0</v>
      </c>
      <c r="AQ140">
        <v>0</v>
      </c>
    </row>
    <row r="141" spans="1:44" x14ac:dyDescent="0.25">
      <c r="A141">
        <v>1145</v>
      </c>
      <c r="B141" t="s">
        <v>763</v>
      </c>
      <c r="C141">
        <v>-27.135429999999999</v>
      </c>
      <c r="D141">
        <v>152.91804999999999</v>
      </c>
      <c r="AH141">
        <v>28</v>
      </c>
      <c r="AO141">
        <v>0</v>
      </c>
      <c r="AP141">
        <v>0</v>
      </c>
      <c r="AQ141">
        <v>0</v>
      </c>
    </row>
    <row r="142" spans="1:44" x14ac:dyDescent="0.25">
      <c r="A142">
        <v>1004</v>
      </c>
      <c r="B142" t="s">
        <v>528</v>
      </c>
      <c r="C142">
        <v>-27.149799999999999</v>
      </c>
      <c r="D142">
        <v>149.07149999999999</v>
      </c>
      <c r="AD142">
        <v>0</v>
      </c>
      <c r="AF142">
        <v>0</v>
      </c>
      <c r="AK142">
        <v>0</v>
      </c>
      <c r="AP142">
        <v>0</v>
      </c>
    </row>
    <row r="143" spans="1:44" x14ac:dyDescent="0.25">
      <c r="A143">
        <v>277</v>
      </c>
      <c r="B143" t="s">
        <v>529</v>
      </c>
      <c r="C143">
        <v>-27.150700000000001</v>
      </c>
      <c r="D143">
        <v>149.06829999999999</v>
      </c>
      <c r="U143">
        <v>0</v>
      </c>
    </row>
    <row r="144" spans="1:44" x14ac:dyDescent="0.25">
      <c r="A144">
        <v>1231</v>
      </c>
      <c r="B144" t="s">
        <v>764</v>
      </c>
      <c r="C144">
        <v>-27.150853999999999</v>
      </c>
      <c r="D144">
        <v>152.97516200000001</v>
      </c>
      <c r="AO144">
        <v>0</v>
      </c>
      <c r="AQ144">
        <v>0</v>
      </c>
    </row>
    <row r="145" spans="1:43" x14ac:dyDescent="0.25">
      <c r="A145">
        <v>145</v>
      </c>
      <c r="B145" t="s">
        <v>530</v>
      </c>
      <c r="C145">
        <v>-27.15766786</v>
      </c>
      <c r="D145">
        <v>152.96780860000001</v>
      </c>
      <c r="F145">
        <v>0</v>
      </c>
      <c r="Y145">
        <v>0</v>
      </c>
      <c r="AK145">
        <v>0</v>
      </c>
    </row>
    <row r="146" spans="1:43" x14ac:dyDescent="0.25">
      <c r="A146">
        <v>298</v>
      </c>
      <c r="B146" t="s">
        <v>97</v>
      </c>
      <c r="C146">
        <v>-27.160509999999999</v>
      </c>
      <c r="D146">
        <v>152.95530400000001</v>
      </c>
      <c r="E146">
        <v>100</v>
      </c>
      <c r="F146">
        <v>0</v>
      </c>
      <c r="G146">
        <v>200</v>
      </c>
      <c r="H146">
        <v>0</v>
      </c>
      <c r="I146">
        <v>92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15</v>
      </c>
      <c r="R146">
        <v>0</v>
      </c>
      <c r="S146">
        <v>0</v>
      </c>
      <c r="U146">
        <v>500</v>
      </c>
      <c r="V146">
        <v>0</v>
      </c>
      <c r="W146">
        <v>250</v>
      </c>
      <c r="X146">
        <v>0</v>
      </c>
      <c r="Y146">
        <v>0</v>
      </c>
      <c r="AB146">
        <v>0</v>
      </c>
      <c r="AD146">
        <v>40</v>
      </c>
      <c r="AE146">
        <v>5</v>
      </c>
      <c r="AG146">
        <v>462</v>
      </c>
      <c r="AH146">
        <v>47</v>
      </c>
      <c r="AK146">
        <v>0</v>
      </c>
      <c r="AO146">
        <v>225</v>
      </c>
      <c r="AP146">
        <v>0</v>
      </c>
      <c r="AQ146">
        <v>0</v>
      </c>
    </row>
    <row r="147" spans="1:43" x14ac:dyDescent="0.25">
      <c r="A147">
        <v>1230</v>
      </c>
      <c r="B147" t="s">
        <v>765</v>
      </c>
      <c r="C147">
        <v>-27.166930000000001</v>
      </c>
      <c r="D147">
        <v>152.932939</v>
      </c>
      <c r="AO147">
        <v>0</v>
      </c>
      <c r="AP147">
        <v>0</v>
      </c>
      <c r="AQ147">
        <v>0</v>
      </c>
    </row>
    <row r="148" spans="1:43" x14ac:dyDescent="0.25">
      <c r="A148">
        <v>1266</v>
      </c>
      <c r="B148" t="s">
        <v>766</v>
      </c>
      <c r="C148">
        <v>-27.169536999999998</v>
      </c>
      <c r="D148">
        <v>153.019631</v>
      </c>
      <c r="AP148">
        <v>0</v>
      </c>
      <c r="AQ148">
        <v>0</v>
      </c>
    </row>
    <row r="149" spans="1:43" x14ac:dyDescent="0.25">
      <c r="A149">
        <v>951</v>
      </c>
      <c r="B149" t="s">
        <v>531</v>
      </c>
      <c r="C149">
        <v>-27.173400000000001</v>
      </c>
      <c r="D149">
        <v>153.02350000000001</v>
      </c>
      <c r="AK149">
        <v>0</v>
      </c>
      <c r="AO149">
        <v>0</v>
      </c>
      <c r="AP149">
        <v>0</v>
      </c>
      <c r="AQ149">
        <v>0</v>
      </c>
    </row>
    <row r="150" spans="1:43" x14ac:dyDescent="0.25">
      <c r="A150">
        <v>1226</v>
      </c>
      <c r="B150" t="s">
        <v>767</v>
      </c>
      <c r="C150">
        <v>-27.185230000000001</v>
      </c>
      <c r="D150">
        <v>152.93416999999999</v>
      </c>
      <c r="AO150">
        <v>35</v>
      </c>
      <c r="AP150">
        <v>50</v>
      </c>
      <c r="AQ150">
        <v>110</v>
      </c>
    </row>
    <row r="151" spans="1:43" x14ac:dyDescent="0.25">
      <c r="A151">
        <v>1146</v>
      </c>
      <c r="B151" t="s">
        <v>768</v>
      </c>
      <c r="C151">
        <v>-27.18683</v>
      </c>
      <c r="D151">
        <v>153.01589999999999</v>
      </c>
      <c r="AH151">
        <v>0</v>
      </c>
      <c r="AK151">
        <v>0</v>
      </c>
      <c r="AO151">
        <v>0</v>
      </c>
      <c r="AP151">
        <v>0</v>
      </c>
      <c r="AQ151">
        <v>0</v>
      </c>
    </row>
    <row r="152" spans="1:43" x14ac:dyDescent="0.25">
      <c r="A152">
        <v>1147</v>
      </c>
      <c r="B152" t="s">
        <v>769</v>
      </c>
      <c r="C152">
        <v>-27.189170000000001</v>
      </c>
      <c r="D152">
        <v>153.02528000000001</v>
      </c>
      <c r="AH152">
        <v>0</v>
      </c>
      <c r="AO152">
        <v>0</v>
      </c>
      <c r="AP152">
        <v>0</v>
      </c>
      <c r="AQ152">
        <v>0</v>
      </c>
    </row>
    <row r="153" spans="1:43" x14ac:dyDescent="0.25">
      <c r="A153">
        <v>327</v>
      </c>
      <c r="B153" t="s">
        <v>285</v>
      </c>
      <c r="C153">
        <v>-27.189679999999999</v>
      </c>
      <c r="D153">
        <v>151.26011</v>
      </c>
      <c r="E153">
        <v>0</v>
      </c>
      <c r="G153">
        <v>640</v>
      </c>
      <c r="H153">
        <v>0</v>
      </c>
      <c r="L153">
        <v>0</v>
      </c>
      <c r="AB153">
        <v>0</v>
      </c>
      <c r="AC153">
        <v>0</v>
      </c>
      <c r="AD153">
        <v>0</v>
      </c>
      <c r="AF153">
        <v>0</v>
      </c>
      <c r="AG153">
        <v>0</v>
      </c>
      <c r="AH153">
        <v>0</v>
      </c>
      <c r="AK153">
        <v>0</v>
      </c>
      <c r="AP153">
        <v>0</v>
      </c>
      <c r="AQ153">
        <v>0</v>
      </c>
    </row>
    <row r="154" spans="1:43" x14ac:dyDescent="0.25">
      <c r="A154">
        <v>1271</v>
      </c>
      <c r="B154" t="s">
        <v>770</v>
      </c>
      <c r="C154">
        <v>-27.192709000000001</v>
      </c>
      <c r="D154">
        <v>152.829375</v>
      </c>
      <c r="AP154">
        <v>0</v>
      </c>
      <c r="AQ154">
        <v>0</v>
      </c>
    </row>
    <row r="155" spans="1:43" x14ac:dyDescent="0.25">
      <c r="A155">
        <v>328</v>
      </c>
      <c r="B155" t="s">
        <v>286</v>
      </c>
      <c r="C155">
        <v>-27.197112000000001</v>
      </c>
      <c r="D155">
        <v>152.82539199999999</v>
      </c>
      <c r="E155">
        <v>4800</v>
      </c>
      <c r="F155">
        <v>3000</v>
      </c>
      <c r="G155">
        <v>8500</v>
      </c>
      <c r="H155">
        <v>0</v>
      </c>
      <c r="I155">
        <v>8000</v>
      </c>
      <c r="J155">
        <v>15996</v>
      </c>
      <c r="K155">
        <v>0</v>
      </c>
      <c r="L155">
        <v>0</v>
      </c>
      <c r="M155">
        <v>0</v>
      </c>
      <c r="N155">
        <v>0</v>
      </c>
      <c r="AD155">
        <v>0</v>
      </c>
      <c r="AG155">
        <v>985</v>
      </c>
      <c r="AH155">
        <v>4450</v>
      </c>
      <c r="AK155">
        <v>0</v>
      </c>
      <c r="AO155">
        <v>0</v>
      </c>
      <c r="AP155">
        <v>0</v>
      </c>
      <c r="AQ155">
        <v>0</v>
      </c>
    </row>
    <row r="156" spans="1:43" x14ac:dyDescent="0.25">
      <c r="A156">
        <v>1148</v>
      </c>
      <c r="B156" t="s">
        <v>771</v>
      </c>
      <c r="C156">
        <v>-27.200790000000001</v>
      </c>
      <c r="D156">
        <v>153.10821000000001</v>
      </c>
      <c r="AH156">
        <v>0</v>
      </c>
      <c r="AK156">
        <v>0</v>
      </c>
      <c r="AO156">
        <v>0</v>
      </c>
      <c r="AP156">
        <v>0</v>
      </c>
      <c r="AQ156">
        <v>0</v>
      </c>
    </row>
    <row r="157" spans="1:43" x14ac:dyDescent="0.25">
      <c r="A157">
        <v>1276</v>
      </c>
      <c r="B157" t="s">
        <v>772</v>
      </c>
      <c r="C157">
        <v>-27.202465</v>
      </c>
      <c r="D157">
        <v>153.04405299999999</v>
      </c>
      <c r="AP157">
        <v>0</v>
      </c>
      <c r="AQ157">
        <v>0</v>
      </c>
    </row>
    <row r="158" spans="1:43" x14ac:dyDescent="0.25">
      <c r="A158">
        <v>582</v>
      </c>
      <c r="B158" t="s">
        <v>287</v>
      </c>
      <c r="C158">
        <v>-27.202884999999998</v>
      </c>
      <c r="D158">
        <v>153.10282900000001</v>
      </c>
      <c r="E158">
        <v>0</v>
      </c>
      <c r="F158">
        <v>0</v>
      </c>
      <c r="H158">
        <v>0</v>
      </c>
      <c r="I158">
        <v>81</v>
      </c>
      <c r="J158">
        <v>0</v>
      </c>
      <c r="L158">
        <v>0</v>
      </c>
      <c r="M158">
        <v>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AG158">
        <v>0</v>
      </c>
      <c r="AH158">
        <v>0</v>
      </c>
      <c r="AK158">
        <v>0</v>
      </c>
      <c r="AO158">
        <v>0</v>
      </c>
      <c r="AP158">
        <v>0</v>
      </c>
      <c r="AQ158">
        <v>0</v>
      </c>
    </row>
    <row r="159" spans="1:43" x14ac:dyDescent="0.25">
      <c r="A159">
        <v>180</v>
      </c>
      <c r="B159" t="s">
        <v>288</v>
      </c>
      <c r="C159">
        <v>-27.206900000000001</v>
      </c>
      <c r="D159">
        <v>152.83160000000001</v>
      </c>
      <c r="E159">
        <v>0</v>
      </c>
      <c r="F159">
        <v>0</v>
      </c>
      <c r="G159">
        <v>0</v>
      </c>
      <c r="H159">
        <v>1400</v>
      </c>
      <c r="I159">
        <v>0</v>
      </c>
      <c r="J159">
        <v>0</v>
      </c>
      <c r="K159">
        <v>4000</v>
      </c>
      <c r="L159">
        <v>0</v>
      </c>
      <c r="M159">
        <v>0</v>
      </c>
      <c r="N159">
        <v>225</v>
      </c>
      <c r="AD159">
        <v>0</v>
      </c>
      <c r="AG159">
        <v>240</v>
      </c>
      <c r="AH159">
        <v>0</v>
      </c>
      <c r="AK159">
        <v>0</v>
      </c>
      <c r="AO159">
        <v>0</v>
      </c>
      <c r="AP159">
        <v>56</v>
      </c>
      <c r="AQ159">
        <v>212</v>
      </c>
    </row>
    <row r="160" spans="1:43" x14ac:dyDescent="0.25">
      <c r="A160">
        <v>429</v>
      </c>
      <c r="B160" t="s">
        <v>98</v>
      </c>
      <c r="C160">
        <v>-27.231449999999999</v>
      </c>
      <c r="D160">
        <v>153.09875199999999</v>
      </c>
      <c r="E160">
        <v>0</v>
      </c>
      <c r="F160">
        <v>0</v>
      </c>
      <c r="H160">
        <v>300</v>
      </c>
      <c r="I160">
        <v>540</v>
      </c>
      <c r="J160">
        <v>0</v>
      </c>
      <c r="L160">
        <v>2233</v>
      </c>
      <c r="M160">
        <v>400</v>
      </c>
      <c r="O160">
        <v>0</v>
      </c>
      <c r="P160">
        <v>1650</v>
      </c>
      <c r="Q160">
        <v>141</v>
      </c>
      <c r="R160">
        <v>0</v>
      </c>
      <c r="S160">
        <v>0</v>
      </c>
      <c r="U160">
        <v>900</v>
      </c>
      <c r="V160">
        <v>750</v>
      </c>
      <c r="W160">
        <v>650</v>
      </c>
      <c r="X160">
        <v>405</v>
      </c>
      <c r="Y160">
        <v>0</v>
      </c>
      <c r="AF160">
        <v>20</v>
      </c>
      <c r="AG160">
        <v>45</v>
      </c>
      <c r="AH160">
        <v>1</v>
      </c>
      <c r="AK160">
        <v>0</v>
      </c>
      <c r="AO160">
        <v>0</v>
      </c>
      <c r="AP160">
        <v>0</v>
      </c>
      <c r="AQ160">
        <v>0</v>
      </c>
    </row>
    <row r="161" spans="1:43" x14ac:dyDescent="0.25">
      <c r="A161">
        <v>156</v>
      </c>
      <c r="B161" t="s">
        <v>99</v>
      </c>
      <c r="C161">
        <v>-27.2349</v>
      </c>
      <c r="D161">
        <v>152.42330000000001</v>
      </c>
      <c r="E161">
        <v>20000</v>
      </c>
      <c r="F161">
        <v>2500</v>
      </c>
      <c r="G161">
        <v>3600</v>
      </c>
      <c r="H161">
        <v>4500</v>
      </c>
      <c r="I161">
        <v>0</v>
      </c>
      <c r="J161">
        <v>300</v>
      </c>
      <c r="M161">
        <v>1800</v>
      </c>
      <c r="P161">
        <v>0</v>
      </c>
      <c r="Q161">
        <v>8000</v>
      </c>
      <c r="R161">
        <v>4000</v>
      </c>
      <c r="S161">
        <v>30</v>
      </c>
      <c r="T161">
        <v>0</v>
      </c>
      <c r="U161">
        <v>3000</v>
      </c>
      <c r="V161">
        <v>1700</v>
      </c>
      <c r="X161">
        <v>800</v>
      </c>
      <c r="Y161">
        <v>3000</v>
      </c>
      <c r="AB161">
        <v>3200</v>
      </c>
      <c r="AC161">
        <v>0</v>
      </c>
      <c r="AD161">
        <v>2500</v>
      </c>
      <c r="AF161">
        <v>6000</v>
      </c>
      <c r="AG161">
        <v>75</v>
      </c>
      <c r="AH161">
        <v>120</v>
      </c>
      <c r="AO161">
        <v>4816</v>
      </c>
    </row>
    <row r="162" spans="1:43" x14ac:dyDescent="0.25">
      <c r="A162">
        <v>1232</v>
      </c>
      <c r="B162" t="s">
        <v>773</v>
      </c>
      <c r="C162">
        <v>-27.242380000000001</v>
      </c>
      <c r="D162">
        <v>152.99181300000001</v>
      </c>
      <c r="AO162">
        <v>0</v>
      </c>
      <c r="AP162">
        <v>0</v>
      </c>
      <c r="AQ162">
        <v>0</v>
      </c>
    </row>
    <row r="163" spans="1:43" x14ac:dyDescent="0.25">
      <c r="A163">
        <v>1233</v>
      </c>
      <c r="B163" t="s">
        <v>774</v>
      </c>
      <c r="C163">
        <v>-27.242380000000001</v>
      </c>
      <c r="D163">
        <v>152.99181300000001</v>
      </c>
      <c r="AO163">
        <v>600</v>
      </c>
      <c r="AP163">
        <v>2793</v>
      </c>
      <c r="AQ163">
        <v>0</v>
      </c>
    </row>
    <row r="164" spans="1:43" x14ac:dyDescent="0.25">
      <c r="A164">
        <v>1275</v>
      </c>
      <c r="B164" t="s">
        <v>775</v>
      </c>
      <c r="C164">
        <v>-27.25619</v>
      </c>
      <c r="D164">
        <v>152.99601899999999</v>
      </c>
      <c r="AP164">
        <v>0</v>
      </c>
      <c r="AQ164">
        <v>0</v>
      </c>
    </row>
    <row r="165" spans="1:43" x14ac:dyDescent="0.25">
      <c r="A165">
        <v>1223</v>
      </c>
      <c r="B165" t="s">
        <v>776</v>
      </c>
      <c r="C165">
        <v>-27.270700000000001</v>
      </c>
      <c r="D165">
        <v>153.0403</v>
      </c>
      <c r="AP165">
        <v>0</v>
      </c>
    </row>
    <row r="166" spans="1:43" x14ac:dyDescent="0.25">
      <c r="A166">
        <v>1040</v>
      </c>
      <c r="B166" t="s">
        <v>777</v>
      </c>
      <c r="C166">
        <v>-27.272413</v>
      </c>
      <c r="D166">
        <v>152.97511499999999</v>
      </c>
      <c r="AG166">
        <v>160</v>
      </c>
      <c r="AH166">
        <v>105</v>
      </c>
      <c r="AK166">
        <v>350</v>
      </c>
      <c r="AO166">
        <v>600</v>
      </c>
      <c r="AP166">
        <v>850</v>
      </c>
      <c r="AQ166">
        <v>0</v>
      </c>
    </row>
    <row r="167" spans="1:43" x14ac:dyDescent="0.25">
      <c r="A167">
        <v>572</v>
      </c>
      <c r="B167" t="s">
        <v>289</v>
      </c>
      <c r="C167">
        <v>-27.311131</v>
      </c>
      <c r="D167">
        <v>152.994339</v>
      </c>
      <c r="F167">
        <v>0</v>
      </c>
      <c r="G167">
        <v>150</v>
      </c>
      <c r="H167">
        <v>3000</v>
      </c>
      <c r="I167">
        <v>2000</v>
      </c>
      <c r="J167">
        <v>0</v>
      </c>
      <c r="K167">
        <v>0</v>
      </c>
      <c r="L167">
        <v>0</v>
      </c>
      <c r="M167">
        <v>0</v>
      </c>
      <c r="AD167">
        <v>0</v>
      </c>
      <c r="AH167">
        <v>0</v>
      </c>
      <c r="AK167">
        <v>0</v>
      </c>
      <c r="AO167">
        <v>0</v>
      </c>
      <c r="AP167">
        <v>0</v>
      </c>
      <c r="AQ167">
        <v>0</v>
      </c>
    </row>
    <row r="168" spans="1:43" x14ac:dyDescent="0.25">
      <c r="A168">
        <v>151</v>
      </c>
      <c r="B168" t="s">
        <v>100</v>
      </c>
      <c r="C168">
        <v>-27.3231</v>
      </c>
      <c r="D168">
        <v>153.06870000000001</v>
      </c>
      <c r="F168">
        <v>0</v>
      </c>
      <c r="G168">
        <v>0</v>
      </c>
      <c r="H168">
        <v>60</v>
      </c>
      <c r="I168">
        <v>0</v>
      </c>
      <c r="J168">
        <v>0</v>
      </c>
      <c r="L168">
        <v>250</v>
      </c>
      <c r="M168">
        <v>14</v>
      </c>
      <c r="N168">
        <v>83</v>
      </c>
      <c r="O168">
        <v>0</v>
      </c>
      <c r="P168">
        <v>950</v>
      </c>
      <c r="Q168">
        <v>0</v>
      </c>
      <c r="R168">
        <v>0</v>
      </c>
      <c r="S168">
        <v>0</v>
      </c>
      <c r="V168">
        <v>0</v>
      </c>
      <c r="X168">
        <v>5100</v>
      </c>
      <c r="Y168">
        <v>0</v>
      </c>
      <c r="AF168">
        <v>0</v>
      </c>
      <c r="AG168">
        <v>0</v>
      </c>
      <c r="AH168">
        <v>10</v>
      </c>
      <c r="AO168">
        <v>0</v>
      </c>
      <c r="AP168">
        <v>0</v>
      </c>
      <c r="AQ168">
        <v>0</v>
      </c>
    </row>
    <row r="169" spans="1:43" x14ac:dyDescent="0.25">
      <c r="A169">
        <v>847</v>
      </c>
      <c r="B169" t="s">
        <v>290</v>
      </c>
      <c r="C169">
        <v>-27.333380559999998</v>
      </c>
      <c r="D169">
        <v>153.0535639</v>
      </c>
      <c r="O169">
        <v>0</v>
      </c>
      <c r="P169">
        <v>380</v>
      </c>
      <c r="Q169">
        <v>0</v>
      </c>
      <c r="R169">
        <v>4500</v>
      </c>
      <c r="S169">
        <v>0</v>
      </c>
      <c r="V169">
        <v>0</v>
      </c>
      <c r="Y169">
        <v>0</v>
      </c>
      <c r="AF169">
        <v>0</v>
      </c>
      <c r="AG169">
        <v>1</v>
      </c>
      <c r="AH169">
        <v>0</v>
      </c>
    </row>
    <row r="170" spans="1:43" x14ac:dyDescent="0.25">
      <c r="A170">
        <v>569</v>
      </c>
      <c r="B170" t="s">
        <v>532</v>
      </c>
      <c r="C170">
        <v>-27.346726</v>
      </c>
      <c r="D170">
        <v>152.05575200000001</v>
      </c>
      <c r="AE170">
        <v>0</v>
      </c>
    </row>
    <row r="171" spans="1:43" x14ac:dyDescent="0.25">
      <c r="A171">
        <v>806</v>
      </c>
      <c r="B171" t="s">
        <v>291</v>
      </c>
      <c r="C171">
        <v>-27.347189</v>
      </c>
      <c r="D171">
        <v>152.95959400000001</v>
      </c>
      <c r="L171">
        <v>0</v>
      </c>
      <c r="M171">
        <v>0</v>
      </c>
      <c r="N171">
        <v>0</v>
      </c>
      <c r="AF171">
        <v>1690</v>
      </c>
      <c r="AG171">
        <v>720</v>
      </c>
      <c r="AH171">
        <v>740</v>
      </c>
      <c r="AK171">
        <v>600</v>
      </c>
      <c r="AO171">
        <v>540</v>
      </c>
      <c r="AP171">
        <v>500</v>
      </c>
      <c r="AQ171">
        <v>250</v>
      </c>
    </row>
    <row r="172" spans="1:43" x14ac:dyDescent="0.25">
      <c r="A172">
        <v>1034</v>
      </c>
      <c r="B172" t="s">
        <v>778</v>
      </c>
      <c r="C172">
        <v>-27.366700000000002</v>
      </c>
      <c r="D172">
        <v>152.83179999999999</v>
      </c>
      <c r="AG172">
        <v>0</v>
      </c>
      <c r="AH172">
        <v>0</v>
      </c>
      <c r="AK172">
        <v>0</v>
      </c>
      <c r="AO172">
        <v>0</v>
      </c>
      <c r="AP172">
        <v>0</v>
      </c>
      <c r="AQ172">
        <v>0</v>
      </c>
    </row>
    <row r="173" spans="1:43" x14ac:dyDescent="0.25">
      <c r="A173">
        <v>1284</v>
      </c>
      <c r="B173" t="s">
        <v>833</v>
      </c>
      <c r="C173">
        <v>-27.366900000000001</v>
      </c>
      <c r="D173">
        <v>152.83519999999999</v>
      </c>
      <c r="AQ173">
        <v>0</v>
      </c>
    </row>
    <row r="174" spans="1:43" x14ac:dyDescent="0.25">
      <c r="A174">
        <v>1218</v>
      </c>
      <c r="B174" t="s">
        <v>779</v>
      </c>
      <c r="C174">
        <v>-27.3691</v>
      </c>
      <c r="D174">
        <v>152.839</v>
      </c>
      <c r="AO174">
        <v>1000</v>
      </c>
      <c r="AP174">
        <v>770</v>
      </c>
      <c r="AQ174">
        <v>0</v>
      </c>
    </row>
    <row r="175" spans="1:43" x14ac:dyDescent="0.25">
      <c r="A175">
        <v>1277</v>
      </c>
      <c r="B175" t="s">
        <v>780</v>
      </c>
      <c r="C175">
        <v>-27.369361000000001</v>
      </c>
      <c r="D175">
        <v>152.859972</v>
      </c>
      <c r="AP175">
        <v>0</v>
      </c>
      <c r="AQ175">
        <v>295</v>
      </c>
    </row>
    <row r="176" spans="1:43" x14ac:dyDescent="0.25">
      <c r="A176">
        <v>152</v>
      </c>
      <c r="B176" t="s">
        <v>292</v>
      </c>
      <c r="C176">
        <v>-27.376100000000001</v>
      </c>
      <c r="D176">
        <v>152.84049999999999</v>
      </c>
      <c r="E176">
        <v>1000</v>
      </c>
      <c r="F176">
        <v>560</v>
      </c>
      <c r="G176">
        <v>0</v>
      </c>
      <c r="H176">
        <v>1000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AG176">
        <v>570</v>
      </c>
      <c r="AH176">
        <v>2435</v>
      </c>
      <c r="AO176">
        <v>0</v>
      </c>
      <c r="AP176">
        <v>0</v>
      </c>
      <c r="AQ176">
        <v>0</v>
      </c>
    </row>
    <row r="177" spans="1:44" x14ac:dyDescent="0.25">
      <c r="A177">
        <v>1274</v>
      </c>
      <c r="B177" t="s">
        <v>781</v>
      </c>
      <c r="C177">
        <v>-27.378571999999998</v>
      </c>
      <c r="D177">
        <v>152.826942</v>
      </c>
      <c r="AP177">
        <v>0</v>
      </c>
      <c r="AQ177">
        <v>0</v>
      </c>
    </row>
    <row r="178" spans="1:44" x14ac:dyDescent="0.25">
      <c r="A178">
        <v>1273</v>
      </c>
      <c r="B178" t="s">
        <v>782</v>
      </c>
      <c r="C178">
        <v>-27.383583999999999</v>
      </c>
      <c r="D178">
        <v>152.94522799999999</v>
      </c>
      <c r="AP178">
        <v>0</v>
      </c>
      <c r="AQ178">
        <v>0</v>
      </c>
    </row>
    <row r="179" spans="1:44" x14ac:dyDescent="0.25">
      <c r="A179">
        <v>1269</v>
      </c>
      <c r="B179" t="s">
        <v>783</v>
      </c>
      <c r="C179">
        <v>-27.383700000000001</v>
      </c>
      <c r="D179">
        <v>152.55340000000001</v>
      </c>
      <c r="AP179">
        <v>0</v>
      </c>
    </row>
    <row r="180" spans="1:44" x14ac:dyDescent="0.25">
      <c r="A180">
        <v>1265</v>
      </c>
      <c r="B180" t="s">
        <v>784</v>
      </c>
      <c r="C180">
        <v>-27.387723999999999</v>
      </c>
      <c r="D180">
        <v>152.95626200000001</v>
      </c>
      <c r="AP180">
        <v>0</v>
      </c>
      <c r="AQ180">
        <v>0</v>
      </c>
    </row>
    <row r="181" spans="1:44" x14ac:dyDescent="0.25">
      <c r="A181">
        <v>846</v>
      </c>
      <c r="B181" t="s">
        <v>533</v>
      </c>
      <c r="C181">
        <v>-27.388437</v>
      </c>
      <c r="D181">
        <v>153.07508999999999</v>
      </c>
      <c r="O181">
        <v>0</v>
      </c>
      <c r="P181">
        <v>0</v>
      </c>
      <c r="Q181">
        <v>0</v>
      </c>
      <c r="R181">
        <v>0</v>
      </c>
      <c r="AF181">
        <v>0</v>
      </c>
      <c r="AG181">
        <v>0</v>
      </c>
      <c r="AH181">
        <v>0</v>
      </c>
      <c r="AO181">
        <v>0</v>
      </c>
      <c r="AP181">
        <v>0</v>
      </c>
      <c r="AQ181">
        <v>0</v>
      </c>
    </row>
    <row r="182" spans="1:44" x14ac:dyDescent="0.25">
      <c r="A182">
        <v>711</v>
      </c>
      <c r="B182" t="s">
        <v>293</v>
      </c>
      <c r="C182">
        <v>-27.388687999999998</v>
      </c>
      <c r="D182">
        <v>153.007091</v>
      </c>
      <c r="G182">
        <v>0</v>
      </c>
      <c r="P182">
        <v>18</v>
      </c>
      <c r="Q182">
        <v>22</v>
      </c>
      <c r="AF182">
        <v>600</v>
      </c>
      <c r="AG182">
        <v>500</v>
      </c>
      <c r="AH182">
        <v>300</v>
      </c>
      <c r="AO182">
        <v>1000</v>
      </c>
      <c r="AP182">
        <v>2000</v>
      </c>
      <c r="AQ182">
        <v>1500</v>
      </c>
    </row>
    <row r="183" spans="1:44" x14ac:dyDescent="0.25">
      <c r="A183">
        <v>1270</v>
      </c>
      <c r="B183" t="s">
        <v>785</v>
      </c>
      <c r="C183">
        <v>-27.392457</v>
      </c>
      <c r="D183">
        <v>152.864588</v>
      </c>
      <c r="AP183">
        <v>0</v>
      </c>
      <c r="AQ183">
        <v>0</v>
      </c>
    </row>
    <row r="184" spans="1:44" x14ac:dyDescent="0.25">
      <c r="A184">
        <v>575</v>
      </c>
      <c r="B184" t="s">
        <v>294</v>
      </c>
      <c r="C184">
        <v>-27.398693999999999</v>
      </c>
      <c r="D184">
        <v>153.07298700000001</v>
      </c>
      <c r="E184">
        <v>20</v>
      </c>
      <c r="F184">
        <v>0</v>
      </c>
      <c r="G184">
        <v>750</v>
      </c>
      <c r="H184">
        <v>0</v>
      </c>
      <c r="J184">
        <v>0</v>
      </c>
      <c r="L184">
        <v>0</v>
      </c>
      <c r="M184">
        <v>0</v>
      </c>
      <c r="N184">
        <v>30</v>
      </c>
      <c r="O184">
        <v>35</v>
      </c>
      <c r="P184">
        <v>0</v>
      </c>
      <c r="Q184">
        <v>17</v>
      </c>
      <c r="R184">
        <v>0</v>
      </c>
      <c r="S184">
        <v>0</v>
      </c>
      <c r="V184">
        <v>0</v>
      </c>
      <c r="X184">
        <v>0</v>
      </c>
      <c r="Y184">
        <v>0</v>
      </c>
      <c r="AC184">
        <v>115</v>
      </c>
      <c r="AD184">
        <v>0</v>
      </c>
      <c r="AF184">
        <v>0</v>
      </c>
      <c r="AG184">
        <v>0</v>
      </c>
      <c r="AH184">
        <v>100</v>
      </c>
      <c r="AO184">
        <v>0</v>
      </c>
      <c r="AP184">
        <v>0</v>
      </c>
      <c r="AQ184">
        <v>0</v>
      </c>
    </row>
    <row r="185" spans="1:44" x14ac:dyDescent="0.25">
      <c r="A185">
        <v>1267</v>
      </c>
      <c r="B185" t="s">
        <v>786</v>
      </c>
      <c r="C185">
        <v>-27.402077999999999</v>
      </c>
      <c r="D185">
        <v>152.95577499999999</v>
      </c>
      <c r="AP185">
        <v>0</v>
      </c>
      <c r="AQ185">
        <v>0</v>
      </c>
    </row>
    <row r="186" spans="1:44" x14ac:dyDescent="0.25">
      <c r="A186">
        <v>341</v>
      </c>
      <c r="B186" t="s">
        <v>295</v>
      </c>
      <c r="C186">
        <v>-27.4055</v>
      </c>
      <c r="D186">
        <v>152.94564700000001</v>
      </c>
      <c r="E186">
        <v>0</v>
      </c>
      <c r="F186">
        <v>6750</v>
      </c>
      <c r="G186">
        <v>1500</v>
      </c>
      <c r="H186">
        <v>150</v>
      </c>
      <c r="I186">
        <v>4000</v>
      </c>
      <c r="J186">
        <v>5103</v>
      </c>
      <c r="K186">
        <v>6500</v>
      </c>
      <c r="L186">
        <v>0</v>
      </c>
      <c r="M186">
        <v>4000</v>
      </c>
      <c r="N186">
        <v>900</v>
      </c>
      <c r="AC186">
        <v>0</v>
      </c>
      <c r="AF186">
        <v>0</v>
      </c>
      <c r="AG186">
        <v>950</v>
      </c>
      <c r="AH186">
        <v>300</v>
      </c>
      <c r="AO186">
        <v>0</v>
      </c>
    </row>
    <row r="187" spans="1:44" x14ac:dyDescent="0.25">
      <c r="A187">
        <v>1272</v>
      </c>
      <c r="B187" t="s">
        <v>787</v>
      </c>
      <c r="C187">
        <v>-27.405736000000001</v>
      </c>
      <c r="D187">
        <v>152.94616199999999</v>
      </c>
      <c r="AP187">
        <v>0</v>
      </c>
      <c r="AQ187">
        <v>0</v>
      </c>
    </row>
    <row r="188" spans="1:44" x14ac:dyDescent="0.25">
      <c r="A188">
        <v>179</v>
      </c>
      <c r="B188" t="s">
        <v>296</v>
      </c>
      <c r="C188">
        <v>-27.411999999999999</v>
      </c>
      <c r="D188">
        <v>152.9992</v>
      </c>
      <c r="E188">
        <v>0</v>
      </c>
      <c r="F188">
        <v>0</v>
      </c>
      <c r="G188">
        <v>510</v>
      </c>
      <c r="H188">
        <v>1600</v>
      </c>
      <c r="J188">
        <v>0</v>
      </c>
      <c r="K188">
        <v>0</v>
      </c>
      <c r="AB188">
        <v>0</v>
      </c>
      <c r="AC188">
        <v>0</v>
      </c>
      <c r="AD188">
        <v>0</v>
      </c>
      <c r="AF188">
        <v>0</v>
      </c>
      <c r="AH188">
        <v>0</v>
      </c>
      <c r="AO188">
        <v>0</v>
      </c>
      <c r="AP188">
        <v>0</v>
      </c>
      <c r="AQ188">
        <v>0</v>
      </c>
    </row>
    <row r="189" spans="1:44" x14ac:dyDescent="0.25">
      <c r="A189">
        <v>985</v>
      </c>
      <c r="B189" t="s">
        <v>16</v>
      </c>
      <c r="C189">
        <v>-27.421399999999998</v>
      </c>
      <c r="D189">
        <v>152.45609999999999</v>
      </c>
      <c r="AB189">
        <v>30000</v>
      </c>
      <c r="AC189">
        <v>0</v>
      </c>
      <c r="AD189">
        <v>0</v>
      </c>
      <c r="AE189">
        <v>0</v>
      </c>
      <c r="AF189">
        <v>29000</v>
      </c>
      <c r="AG189">
        <v>50</v>
      </c>
      <c r="AH189">
        <v>0</v>
      </c>
      <c r="AO189">
        <v>74</v>
      </c>
      <c r="AP189">
        <v>0</v>
      </c>
      <c r="AQ189">
        <v>0</v>
      </c>
      <c r="AR189">
        <v>0</v>
      </c>
    </row>
    <row r="190" spans="1:44" x14ac:dyDescent="0.25">
      <c r="A190">
        <v>412</v>
      </c>
      <c r="B190" t="s">
        <v>297</v>
      </c>
      <c r="C190">
        <v>-27.427014</v>
      </c>
      <c r="D190">
        <v>153.527627</v>
      </c>
      <c r="E190">
        <v>0</v>
      </c>
      <c r="G190">
        <v>4900</v>
      </c>
      <c r="I190">
        <v>3690</v>
      </c>
      <c r="AA190">
        <v>0</v>
      </c>
      <c r="AD190">
        <v>0</v>
      </c>
      <c r="AE190">
        <v>0</v>
      </c>
      <c r="AG190">
        <v>20</v>
      </c>
      <c r="AO190">
        <v>12</v>
      </c>
      <c r="AP190">
        <v>0</v>
      </c>
      <c r="AQ190">
        <v>0</v>
      </c>
    </row>
    <row r="191" spans="1:44" x14ac:dyDescent="0.25">
      <c r="A191">
        <v>532</v>
      </c>
      <c r="B191" t="s">
        <v>534</v>
      </c>
      <c r="C191">
        <v>-27.433755999999999</v>
      </c>
      <c r="D191">
        <v>153.15697499999999</v>
      </c>
      <c r="E191">
        <v>0</v>
      </c>
      <c r="F191">
        <v>0</v>
      </c>
      <c r="G191">
        <v>0</v>
      </c>
      <c r="H191">
        <v>0</v>
      </c>
      <c r="I191">
        <v>0</v>
      </c>
      <c r="M191">
        <v>0</v>
      </c>
      <c r="AH191">
        <v>0</v>
      </c>
      <c r="AO191">
        <v>0</v>
      </c>
    </row>
    <row r="192" spans="1:44" x14ac:dyDescent="0.25">
      <c r="A192">
        <v>1016</v>
      </c>
      <c r="B192" t="s">
        <v>535</v>
      </c>
      <c r="C192">
        <v>-27.435369000000001</v>
      </c>
      <c r="D192">
        <v>152.996928</v>
      </c>
      <c r="AF192">
        <v>10</v>
      </c>
      <c r="AG192">
        <v>180</v>
      </c>
      <c r="AH192">
        <v>0</v>
      </c>
      <c r="AP192">
        <v>0</v>
      </c>
      <c r="AQ192">
        <v>30</v>
      </c>
    </row>
    <row r="193" spans="1:44" x14ac:dyDescent="0.25">
      <c r="A193">
        <v>556</v>
      </c>
      <c r="B193" t="s">
        <v>298</v>
      </c>
      <c r="C193">
        <v>-27.435559999999999</v>
      </c>
      <c r="D193">
        <v>151.72040799999999</v>
      </c>
      <c r="E193">
        <v>0</v>
      </c>
      <c r="F193">
        <v>0</v>
      </c>
      <c r="G193">
        <v>210</v>
      </c>
      <c r="H193">
        <v>200</v>
      </c>
      <c r="M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Y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P193">
        <v>0</v>
      </c>
      <c r="AQ193">
        <v>0</v>
      </c>
    </row>
    <row r="194" spans="1:44" x14ac:dyDescent="0.25">
      <c r="A194">
        <v>644</v>
      </c>
      <c r="B194" t="s">
        <v>536</v>
      </c>
      <c r="C194">
        <v>-27.4376</v>
      </c>
      <c r="D194">
        <v>153.0376</v>
      </c>
      <c r="F194">
        <v>0</v>
      </c>
      <c r="G194">
        <v>0</v>
      </c>
      <c r="H194">
        <v>0</v>
      </c>
      <c r="I194">
        <v>0</v>
      </c>
      <c r="K194">
        <v>0</v>
      </c>
      <c r="L194">
        <v>0</v>
      </c>
      <c r="R194">
        <v>0</v>
      </c>
      <c r="T194">
        <v>0</v>
      </c>
      <c r="V194">
        <v>0</v>
      </c>
      <c r="AA194">
        <v>0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K194">
        <v>0</v>
      </c>
      <c r="AO194">
        <v>0</v>
      </c>
      <c r="AP194">
        <v>0</v>
      </c>
      <c r="AQ194">
        <v>0</v>
      </c>
    </row>
    <row r="195" spans="1:44" x14ac:dyDescent="0.25">
      <c r="A195">
        <v>531</v>
      </c>
      <c r="B195" t="s">
        <v>299</v>
      </c>
      <c r="C195">
        <v>-27.437798000000001</v>
      </c>
      <c r="D195">
        <v>153.17253400000001</v>
      </c>
      <c r="E195">
        <v>0</v>
      </c>
      <c r="F195">
        <v>0</v>
      </c>
      <c r="G195">
        <v>0</v>
      </c>
      <c r="H195">
        <v>0</v>
      </c>
      <c r="I195">
        <v>24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Q195">
        <v>0</v>
      </c>
      <c r="AH195">
        <v>0</v>
      </c>
      <c r="AO195">
        <v>0</v>
      </c>
    </row>
    <row r="196" spans="1:44" x14ac:dyDescent="0.25">
      <c r="A196">
        <v>339</v>
      </c>
      <c r="B196" t="s">
        <v>788</v>
      </c>
      <c r="C196">
        <v>-27.442402000000001</v>
      </c>
      <c r="D196">
        <v>153.02257800000001</v>
      </c>
      <c r="E196">
        <v>358</v>
      </c>
      <c r="F196">
        <v>40</v>
      </c>
      <c r="G196">
        <v>220</v>
      </c>
      <c r="H196">
        <v>200</v>
      </c>
      <c r="I196">
        <v>200</v>
      </c>
      <c r="K196">
        <v>320</v>
      </c>
      <c r="L196">
        <v>400</v>
      </c>
      <c r="R196">
        <v>4800</v>
      </c>
      <c r="S196">
        <v>2960</v>
      </c>
      <c r="T196">
        <v>30000</v>
      </c>
      <c r="V196">
        <v>4000</v>
      </c>
      <c r="Y196">
        <v>2160</v>
      </c>
      <c r="Z196">
        <v>200</v>
      </c>
      <c r="AA196">
        <v>2736</v>
      </c>
      <c r="AB196">
        <v>3861</v>
      </c>
      <c r="AD196">
        <v>4493</v>
      </c>
      <c r="AF196">
        <v>1783</v>
      </c>
      <c r="AG196">
        <v>2445</v>
      </c>
      <c r="AH196">
        <v>3110</v>
      </c>
      <c r="AK196">
        <v>1359</v>
      </c>
      <c r="AO196">
        <v>2288</v>
      </c>
      <c r="AP196">
        <v>2745</v>
      </c>
      <c r="AQ196">
        <v>1525</v>
      </c>
    </row>
    <row r="197" spans="1:44" x14ac:dyDescent="0.25">
      <c r="A197">
        <v>355</v>
      </c>
      <c r="B197" t="s">
        <v>300</v>
      </c>
      <c r="C197">
        <v>-27.443999999999999</v>
      </c>
      <c r="D197">
        <v>153.11359999999999</v>
      </c>
      <c r="E197">
        <v>280</v>
      </c>
      <c r="F197">
        <v>0</v>
      </c>
      <c r="G197">
        <v>240</v>
      </c>
      <c r="H197">
        <v>420</v>
      </c>
      <c r="I197">
        <v>24</v>
      </c>
      <c r="J197">
        <v>0</v>
      </c>
      <c r="K197">
        <v>150</v>
      </c>
      <c r="L197">
        <v>175</v>
      </c>
      <c r="O197">
        <v>0</v>
      </c>
      <c r="AD197">
        <v>0</v>
      </c>
      <c r="AH197">
        <v>0</v>
      </c>
      <c r="AO197">
        <v>0</v>
      </c>
    </row>
    <row r="198" spans="1:44" x14ac:dyDescent="0.25">
      <c r="A198">
        <v>457</v>
      </c>
      <c r="B198" t="s">
        <v>101</v>
      </c>
      <c r="C198">
        <v>-27.444316000000001</v>
      </c>
      <c r="D198">
        <v>152.94189700000001</v>
      </c>
      <c r="E198">
        <v>200</v>
      </c>
      <c r="F198">
        <v>600</v>
      </c>
      <c r="H198">
        <v>600</v>
      </c>
      <c r="I198">
        <v>320</v>
      </c>
      <c r="M198">
        <v>200</v>
      </c>
      <c r="T198">
        <v>0</v>
      </c>
      <c r="U198">
        <v>200</v>
      </c>
      <c r="Y198">
        <v>245</v>
      </c>
      <c r="AF198">
        <v>0</v>
      </c>
      <c r="AK198">
        <v>1000</v>
      </c>
      <c r="AO198">
        <v>3500</v>
      </c>
      <c r="AP198">
        <v>1500</v>
      </c>
      <c r="AQ198">
        <v>3500</v>
      </c>
    </row>
    <row r="199" spans="1:44" x14ac:dyDescent="0.25">
      <c r="A199">
        <v>1149</v>
      </c>
      <c r="B199" t="s">
        <v>789</v>
      </c>
      <c r="C199">
        <v>-27.445011000000001</v>
      </c>
      <c r="D199">
        <v>153.14372800000001</v>
      </c>
      <c r="AH199">
        <v>0</v>
      </c>
      <c r="AO199">
        <v>0</v>
      </c>
    </row>
    <row r="200" spans="1:44" x14ac:dyDescent="0.25">
      <c r="A200">
        <v>780</v>
      </c>
      <c r="B200" t="s">
        <v>102</v>
      </c>
      <c r="C200">
        <v>-27.447085999999999</v>
      </c>
      <c r="D200">
        <v>152.95105000000001</v>
      </c>
      <c r="J200">
        <v>313</v>
      </c>
      <c r="K200">
        <v>700</v>
      </c>
      <c r="O200">
        <v>2</v>
      </c>
      <c r="P200">
        <v>850</v>
      </c>
      <c r="V200">
        <v>0</v>
      </c>
      <c r="X200">
        <v>0</v>
      </c>
      <c r="AA200">
        <v>168</v>
      </c>
      <c r="AC200">
        <v>0</v>
      </c>
      <c r="AF200">
        <v>120</v>
      </c>
      <c r="AH200">
        <v>0</v>
      </c>
      <c r="AK200">
        <v>0</v>
      </c>
      <c r="AO200">
        <v>0</v>
      </c>
      <c r="AP200">
        <v>0</v>
      </c>
      <c r="AQ200">
        <v>0</v>
      </c>
    </row>
    <row r="201" spans="1:44" x14ac:dyDescent="0.25">
      <c r="A201">
        <v>150</v>
      </c>
      <c r="B201" t="s">
        <v>537</v>
      </c>
      <c r="C201">
        <v>-27.45</v>
      </c>
      <c r="D201">
        <v>152.01660000000001</v>
      </c>
      <c r="AQ201">
        <v>0</v>
      </c>
    </row>
    <row r="202" spans="1:44" x14ac:dyDescent="0.25">
      <c r="A202">
        <v>719</v>
      </c>
      <c r="B202" t="s">
        <v>301</v>
      </c>
      <c r="C202">
        <v>-27.460528</v>
      </c>
      <c r="D202">
        <v>151.92827800000001</v>
      </c>
      <c r="G202">
        <v>0</v>
      </c>
      <c r="H202">
        <v>500</v>
      </c>
      <c r="J202">
        <v>250</v>
      </c>
      <c r="M202">
        <v>0</v>
      </c>
      <c r="O202">
        <v>200</v>
      </c>
      <c r="AE202">
        <v>0</v>
      </c>
      <c r="AF202">
        <v>200</v>
      </c>
      <c r="AG202">
        <v>0</v>
      </c>
      <c r="AH202">
        <v>0</v>
      </c>
    </row>
    <row r="203" spans="1:44" x14ac:dyDescent="0.25">
      <c r="A203">
        <v>185</v>
      </c>
      <c r="B203" t="s">
        <v>302</v>
      </c>
      <c r="C203">
        <v>-27.460645549999999</v>
      </c>
      <c r="D203">
        <v>152.0616062</v>
      </c>
      <c r="U203">
        <v>4500</v>
      </c>
      <c r="Z203">
        <v>0</v>
      </c>
      <c r="AA203">
        <v>0</v>
      </c>
      <c r="AB203">
        <v>0</v>
      </c>
      <c r="AC203">
        <v>0</v>
      </c>
      <c r="AE203">
        <v>0</v>
      </c>
      <c r="AF203">
        <v>0</v>
      </c>
      <c r="AH203">
        <v>0</v>
      </c>
      <c r="AO203">
        <v>0</v>
      </c>
      <c r="AQ203">
        <v>0</v>
      </c>
    </row>
    <row r="204" spans="1:44" x14ac:dyDescent="0.25">
      <c r="A204">
        <v>381</v>
      </c>
      <c r="B204" t="s">
        <v>303</v>
      </c>
      <c r="C204">
        <v>-27.464109000000001</v>
      </c>
      <c r="D204">
        <v>153.183671</v>
      </c>
      <c r="E204">
        <v>250</v>
      </c>
      <c r="F204">
        <v>0</v>
      </c>
      <c r="G204">
        <v>0</v>
      </c>
      <c r="H204">
        <v>112</v>
      </c>
      <c r="I204">
        <v>15</v>
      </c>
      <c r="M204">
        <v>0</v>
      </c>
      <c r="N204">
        <v>0</v>
      </c>
      <c r="O204">
        <v>0</v>
      </c>
      <c r="AH204">
        <v>0</v>
      </c>
      <c r="AO204">
        <v>0</v>
      </c>
    </row>
    <row r="205" spans="1:44" x14ac:dyDescent="0.25">
      <c r="A205">
        <v>382</v>
      </c>
      <c r="B205" t="s">
        <v>304</v>
      </c>
      <c r="C205">
        <v>-27.465699999999998</v>
      </c>
      <c r="D205">
        <v>152.59030000000001</v>
      </c>
      <c r="J205">
        <v>99</v>
      </c>
      <c r="AC205">
        <v>0</v>
      </c>
      <c r="AO205">
        <v>0</v>
      </c>
      <c r="AQ205">
        <v>0</v>
      </c>
      <c r="AR205">
        <v>0</v>
      </c>
    </row>
    <row r="206" spans="1:44" x14ac:dyDescent="0.25">
      <c r="A206">
        <v>383</v>
      </c>
      <c r="B206" t="s">
        <v>103</v>
      </c>
      <c r="C206">
        <v>-27.468800000000002</v>
      </c>
      <c r="D206">
        <v>152.58860000000001</v>
      </c>
      <c r="E206">
        <v>4000</v>
      </c>
      <c r="F206">
        <v>1000</v>
      </c>
      <c r="G206">
        <v>1750</v>
      </c>
      <c r="H206">
        <v>5000</v>
      </c>
      <c r="J206">
        <v>100</v>
      </c>
      <c r="K206">
        <v>2000</v>
      </c>
      <c r="L206">
        <v>1200</v>
      </c>
      <c r="O206">
        <v>5</v>
      </c>
      <c r="R206">
        <v>2500</v>
      </c>
      <c r="U206">
        <v>10000</v>
      </c>
      <c r="X206">
        <v>840</v>
      </c>
      <c r="AB206">
        <v>0</v>
      </c>
      <c r="AC206">
        <v>1000</v>
      </c>
      <c r="AD206">
        <v>2500</v>
      </c>
      <c r="AE206">
        <v>0</v>
      </c>
      <c r="AF206">
        <v>3500</v>
      </c>
      <c r="AG206">
        <v>800</v>
      </c>
      <c r="AH206">
        <v>630</v>
      </c>
      <c r="AO206">
        <v>1717</v>
      </c>
      <c r="AP206">
        <v>1043</v>
      </c>
      <c r="AQ206">
        <v>2740</v>
      </c>
      <c r="AR206">
        <v>3092</v>
      </c>
    </row>
    <row r="207" spans="1:44" x14ac:dyDescent="0.25">
      <c r="A207">
        <v>1019</v>
      </c>
      <c r="B207" t="s">
        <v>538</v>
      </c>
      <c r="C207">
        <v>-27.4748293</v>
      </c>
      <c r="D207">
        <v>153.0279204</v>
      </c>
      <c r="AF207">
        <v>0</v>
      </c>
      <c r="AG207">
        <v>65</v>
      </c>
      <c r="AH207">
        <v>0</v>
      </c>
    </row>
    <row r="208" spans="1:44" x14ac:dyDescent="0.25">
      <c r="A208">
        <v>159</v>
      </c>
      <c r="B208" t="s">
        <v>104</v>
      </c>
      <c r="C208">
        <v>-27.483061899999999</v>
      </c>
      <c r="D208">
        <v>153.0547492</v>
      </c>
      <c r="E208">
        <v>280</v>
      </c>
      <c r="F208">
        <v>6400</v>
      </c>
      <c r="G208">
        <v>76</v>
      </c>
      <c r="H208">
        <v>363</v>
      </c>
      <c r="J208">
        <v>87</v>
      </c>
      <c r="K208">
        <v>0</v>
      </c>
      <c r="M208">
        <v>220</v>
      </c>
      <c r="N208">
        <v>176</v>
      </c>
      <c r="O208">
        <v>0</v>
      </c>
      <c r="P208">
        <v>52</v>
      </c>
      <c r="Q208">
        <v>7</v>
      </c>
      <c r="R208">
        <v>11</v>
      </c>
      <c r="T208">
        <v>1621</v>
      </c>
      <c r="U208">
        <v>11</v>
      </c>
      <c r="X208">
        <v>1300</v>
      </c>
      <c r="Y208">
        <v>41</v>
      </c>
      <c r="Z208">
        <v>41</v>
      </c>
      <c r="AA208">
        <v>1136</v>
      </c>
      <c r="AB208">
        <v>422</v>
      </c>
      <c r="AC208">
        <v>0</v>
      </c>
      <c r="AE208">
        <v>765</v>
      </c>
      <c r="AF208">
        <v>480</v>
      </c>
      <c r="AH208">
        <v>1</v>
      </c>
      <c r="AO208">
        <v>100</v>
      </c>
      <c r="AP208">
        <v>92</v>
      </c>
      <c r="AQ208">
        <v>0</v>
      </c>
    </row>
    <row r="209" spans="1:44" x14ac:dyDescent="0.25">
      <c r="A209">
        <v>820</v>
      </c>
      <c r="B209" t="s">
        <v>539</v>
      </c>
      <c r="C209">
        <v>-27.483737000000001</v>
      </c>
      <c r="D209">
        <v>153.23940099999999</v>
      </c>
      <c r="M209">
        <v>0</v>
      </c>
      <c r="O209">
        <v>0</v>
      </c>
      <c r="AQ209">
        <v>0</v>
      </c>
    </row>
    <row r="210" spans="1:44" x14ac:dyDescent="0.25">
      <c r="A210">
        <v>584</v>
      </c>
      <c r="B210" t="s">
        <v>105</v>
      </c>
      <c r="C210">
        <v>-27.490983</v>
      </c>
      <c r="D210">
        <v>152.99286699999999</v>
      </c>
      <c r="E210">
        <v>100</v>
      </c>
      <c r="F210">
        <v>300</v>
      </c>
      <c r="H210">
        <v>550</v>
      </c>
      <c r="I210">
        <v>1350</v>
      </c>
      <c r="K210">
        <v>200</v>
      </c>
      <c r="L210">
        <v>1960</v>
      </c>
      <c r="M210">
        <v>1200</v>
      </c>
      <c r="N210">
        <v>1100</v>
      </c>
      <c r="R210">
        <v>200</v>
      </c>
      <c r="V210">
        <v>1020</v>
      </c>
      <c r="W210">
        <v>300</v>
      </c>
      <c r="X210">
        <v>858</v>
      </c>
      <c r="Y210">
        <v>1050</v>
      </c>
      <c r="AA210">
        <v>1600</v>
      </c>
      <c r="AF210">
        <v>800</v>
      </c>
      <c r="AG210">
        <v>264</v>
      </c>
      <c r="AH210">
        <v>100</v>
      </c>
      <c r="AK210">
        <v>1000</v>
      </c>
      <c r="AO210">
        <v>158</v>
      </c>
      <c r="AP210">
        <v>235</v>
      </c>
    </row>
    <row r="211" spans="1:44" x14ac:dyDescent="0.25">
      <c r="A211">
        <v>423</v>
      </c>
      <c r="B211" t="s">
        <v>540</v>
      </c>
      <c r="C211">
        <v>-27.493919999999999</v>
      </c>
      <c r="D211">
        <v>152.72223</v>
      </c>
      <c r="AG211">
        <v>0</v>
      </c>
    </row>
    <row r="212" spans="1:44" x14ac:dyDescent="0.25">
      <c r="A212">
        <v>472</v>
      </c>
      <c r="B212" t="s">
        <v>541</v>
      </c>
      <c r="C212">
        <v>-27.495215000000002</v>
      </c>
      <c r="D212">
        <v>153.23545899999999</v>
      </c>
      <c r="E212">
        <v>0</v>
      </c>
      <c r="F212">
        <v>0</v>
      </c>
      <c r="G212">
        <v>0</v>
      </c>
      <c r="H212">
        <v>0</v>
      </c>
      <c r="M212">
        <v>0</v>
      </c>
      <c r="O212">
        <v>0</v>
      </c>
      <c r="Q212">
        <v>0</v>
      </c>
      <c r="AQ212">
        <v>0</v>
      </c>
    </row>
    <row r="213" spans="1:44" x14ac:dyDescent="0.25">
      <c r="A213">
        <v>1150</v>
      </c>
      <c r="B213" t="s">
        <v>790</v>
      </c>
      <c r="C213">
        <v>-27.495882999999999</v>
      </c>
      <c r="D213">
        <v>153.213807</v>
      </c>
      <c r="AH213">
        <v>0</v>
      </c>
      <c r="AQ213">
        <v>75</v>
      </c>
    </row>
    <row r="214" spans="1:44" x14ac:dyDescent="0.25">
      <c r="A214">
        <v>1259</v>
      </c>
      <c r="B214" t="s">
        <v>791</v>
      </c>
      <c r="C214">
        <v>-27.49718</v>
      </c>
      <c r="D214">
        <v>153.01803000000001</v>
      </c>
      <c r="AP214">
        <v>25</v>
      </c>
    </row>
    <row r="215" spans="1:44" x14ac:dyDescent="0.25">
      <c r="A215">
        <v>153</v>
      </c>
      <c r="B215" t="s">
        <v>106</v>
      </c>
      <c r="C215">
        <v>-27.498999999999999</v>
      </c>
      <c r="D215">
        <v>153.40199999999999</v>
      </c>
      <c r="E215">
        <v>0</v>
      </c>
      <c r="G215">
        <v>12350</v>
      </c>
      <c r="H215">
        <v>680</v>
      </c>
      <c r="I215">
        <v>0</v>
      </c>
      <c r="J215">
        <v>0</v>
      </c>
      <c r="S215">
        <v>1755</v>
      </c>
      <c r="V215">
        <v>0</v>
      </c>
      <c r="W215">
        <v>200</v>
      </c>
      <c r="X215">
        <v>0</v>
      </c>
      <c r="Y215">
        <v>0</v>
      </c>
      <c r="Z215">
        <v>0</v>
      </c>
      <c r="AA215">
        <v>2000</v>
      </c>
      <c r="AC215">
        <v>0</v>
      </c>
      <c r="AD215">
        <v>100</v>
      </c>
      <c r="AE215">
        <v>750</v>
      </c>
      <c r="AF215">
        <v>320</v>
      </c>
      <c r="AG215">
        <v>200</v>
      </c>
      <c r="AO215">
        <v>0</v>
      </c>
      <c r="AP215">
        <v>0</v>
      </c>
      <c r="AQ215">
        <v>5250</v>
      </c>
    </row>
    <row r="216" spans="1:44" x14ac:dyDescent="0.25">
      <c r="A216">
        <v>283</v>
      </c>
      <c r="B216" t="s">
        <v>542</v>
      </c>
      <c r="C216">
        <v>-27.502600000000001</v>
      </c>
      <c r="D216">
        <v>153.22630000000001</v>
      </c>
      <c r="E216">
        <v>0</v>
      </c>
      <c r="F216">
        <v>0</v>
      </c>
      <c r="G216">
        <v>0</v>
      </c>
      <c r="H216">
        <v>0</v>
      </c>
      <c r="M216">
        <v>0</v>
      </c>
      <c r="O216">
        <v>0</v>
      </c>
      <c r="Q216">
        <v>0</v>
      </c>
      <c r="AQ216">
        <v>0</v>
      </c>
    </row>
    <row r="217" spans="1:44" x14ac:dyDescent="0.25">
      <c r="A217">
        <v>212</v>
      </c>
      <c r="B217" t="s">
        <v>107</v>
      </c>
      <c r="C217">
        <v>-27.509063609999998</v>
      </c>
      <c r="D217">
        <v>153.2243866</v>
      </c>
      <c r="AD217">
        <v>120</v>
      </c>
    </row>
    <row r="218" spans="1:44" x14ac:dyDescent="0.25">
      <c r="A218">
        <v>270</v>
      </c>
      <c r="B218" t="s">
        <v>108</v>
      </c>
      <c r="C218">
        <v>-27.516490000000001</v>
      </c>
      <c r="D218">
        <v>153.20967999999999</v>
      </c>
      <c r="E218">
        <v>0</v>
      </c>
      <c r="G218">
        <v>0</v>
      </c>
      <c r="H218">
        <v>0</v>
      </c>
      <c r="K218">
        <v>0</v>
      </c>
      <c r="L218">
        <v>4992</v>
      </c>
      <c r="M218">
        <v>400</v>
      </c>
      <c r="N218">
        <v>0</v>
      </c>
      <c r="O218">
        <v>100</v>
      </c>
      <c r="Q218">
        <v>6000</v>
      </c>
      <c r="S218">
        <v>200</v>
      </c>
      <c r="V218">
        <v>0</v>
      </c>
      <c r="AA218">
        <v>710</v>
      </c>
      <c r="AB218">
        <v>1600</v>
      </c>
      <c r="AF218">
        <v>278</v>
      </c>
      <c r="AH218">
        <v>100</v>
      </c>
      <c r="AQ218">
        <v>0</v>
      </c>
    </row>
    <row r="219" spans="1:44" x14ac:dyDescent="0.25">
      <c r="A219">
        <v>163</v>
      </c>
      <c r="B219" t="s">
        <v>305</v>
      </c>
      <c r="C219">
        <v>-27.51770342</v>
      </c>
      <c r="D219">
        <v>152.991085</v>
      </c>
      <c r="E219">
        <v>2500</v>
      </c>
      <c r="F219">
        <v>1000</v>
      </c>
      <c r="M219">
        <v>0</v>
      </c>
      <c r="N219">
        <v>0</v>
      </c>
      <c r="AF219">
        <v>0</v>
      </c>
      <c r="AO219">
        <v>0</v>
      </c>
    </row>
    <row r="220" spans="1:44" x14ac:dyDescent="0.25">
      <c r="A220">
        <v>1207</v>
      </c>
      <c r="B220" t="s">
        <v>792</v>
      </c>
      <c r="C220">
        <v>-27.523499999999999</v>
      </c>
      <c r="D220">
        <v>153.04069999999999</v>
      </c>
      <c r="AK220">
        <v>0</v>
      </c>
      <c r="AO220">
        <v>0</v>
      </c>
      <c r="AP220">
        <v>0</v>
      </c>
      <c r="AQ220">
        <v>0</v>
      </c>
    </row>
    <row r="221" spans="1:44" x14ac:dyDescent="0.25">
      <c r="A221">
        <v>475</v>
      </c>
      <c r="B221" t="s">
        <v>543</v>
      </c>
      <c r="C221">
        <v>-27.52572739</v>
      </c>
      <c r="D221">
        <v>151.97136990000001</v>
      </c>
      <c r="E221">
        <v>0</v>
      </c>
    </row>
    <row r="222" spans="1:44" x14ac:dyDescent="0.25">
      <c r="A222">
        <v>143</v>
      </c>
      <c r="B222" t="s">
        <v>109</v>
      </c>
      <c r="C222">
        <v>-27.52692746</v>
      </c>
      <c r="D222">
        <v>153.2582185</v>
      </c>
      <c r="E222">
        <v>1500</v>
      </c>
      <c r="G222">
        <v>1500</v>
      </c>
      <c r="H222">
        <v>2000</v>
      </c>
      <c r="O222">
        <v>50</v>
      </c>
      <c r="S222">
        <v>180</v>
      </c>
      <c r="X222">
        <v>1000</v>
      </c>
      <c r="AA222">
        <v>450</v>
      </c>
      <c r="AD222">
        <v>0</v>
      </c>
      <c r="AF222">
        <v>360</v>
      </c>
      <c r="AQ222">
        <v>200</v>
      </c>
    </row>
    <row r="223" spans="1:44" x14ac:dyDescent="0.25">
      <c r="A223">
        <v>804</v>
      </c>
      <c r="B223" t="s">
        <v>544</v>
      </c>
      <c r="C223">
        <v>-27.540262999999999</v>
      </c>
      <c r="D223">
        <v>152.82350500000001</v>
      </c>
      <c r="L223">
        <v>0</v>
      </c>
      <c r="O223">
        <v>0</v>
      </c>
      <c r="AG223">
        <v>0</v>
      </c>
      <c r="AR223">
        <v>176</v>
      </c>
    </row>
    <row r="224" spans="1:44" x14ac:dyDescent="0.25">
      <c r="A224">
        <v>400</v>
      </c>
      <c r="B224" t="s">
        <v>17</v>
      </c>
      <c r="C224">
        <v>-27.5444</v>
      </c>
      <c r="D224">
        <v>152.9255</v>
      </c>
      <c r="E224">
        <v>140</v>
      </c>
      <c r="F224">
        <v>110</v>
      </c>
      <c r="H224">
        <v>500</v>
      </c>
      <c r="I224">
        <v>500</v>
      </c>
      <c r="J224">
        <v>50</v>
      </c>
      <c r="K224">
        <v>2800</v>
      </c>
      <c r="L224">
        <v>5520</v>
      </c>
      <c r="M224">
        <v>800</v>
      </c>
      <c r="N224">
        <v>900</v>
      </c>
      <c r="O224">
        <v>500</v>
      </c>
      <c r="Q224">
        <v>100</v>
      </c>
      <c r="R224">
        <v>150</v>
      </c>
      <c r="T224">
        <v>1000</v>
      </c>
      <c r="U224">
        <v>1200</v>
      </c>
      <c r="W224">
        <v>1000</v>
      </c>
      <c r="X224">
        <v>15000</v>
      </c>
      <c r="Y224">
        <v>6400</v>
      </c>
      <c r="Z224">
        <v>3695</v>
      </c>
      <c r="AA224">
        <v>15485</v>
      </c>
      <c r="AB224">
        <v>1220</v>
      </c>
      <c r="AD224">
        <v>300</v>
      </c>
      <c r="AE224">
        <v>19868</v>
      </c>
      <c r="AF224">
        <v>900</v>
      </c>
      <c r="AK224">
        <v>200</v>
      </c>
      <c r="AO224">
        <v>2380</v>
      </c>
      <c r="AP224">
        <v>976</v>
      </c>
    </row>
    <row r="225" spans="1:43" x14ac:dyDescent="0.25">
      <c r="A225">
        <v>599</v>
      </c>
      <c r="B225" t="s">
        <v>306</v>
      </c>
      <c r="C225">
        <v>-27.546023000000002</v>
      </c>
      <c r="D225">
        <v>153.26984400000001</v>
      </c>
      <c r="F225">
        <v>0</v>
      </c>
      <c r="G225">
        <v>0</v>
      </c>
      <c r="H225">
        <v>225</v>
      </c>
      <c r="M225">
        <v>50</v>
      </c>
      <c r="N225">
        <v>0</v>
      </c>
      <c r="AQ225">
        <v>0</v>
      </c>
    </row>
    <row r="226" spans="1:43" x14ac:dyDescent="0.25">
      <c r="A226">
        <v>570</v>
      </c>
      <c r="B226" t="s">
        <v>307</v>
      </c>
      <c r="C226">
        <v>-27.548306</v>
      </c>
      <c r="D226">
        <v>152.122694</v>
      </c>
      <c r="E226">
        <v>0</v>
      </c>
      <c r="F226">
        <v>0</v>
      </c>
      <c r="G226">
        <v>0</v>
      </c>
      <c r="H226">
        <v>0</v>
      </c>
      <c r="J226">
        <v>0</v>
      </c>
      <c r="R226">
        <v>0</v>
      </c>
      <c r="U226">
        <v>400</v>
      </c>
      <c r="Z226">
        <v>0</v>
      </c>
      <c r="AA226">
        <v>0</v>
      </c>
      <c r="AB226">
        <v>0</v>
      </c>
      <c r="AC226">
        <v>0</v>
      </c>
      <c r="AE226">
        <v>0</v>
      </c>
      <c r="AF226">
        <v>0</v>
      </c>
      <c r="AO226">
        <v>0</v>
      </c>
    </row>
    <row r="227" spans="1:43" x14ac:dyDescent="0.25">
      <c r="A227">
        <v>1292</v>
      </c>
      <c r="B227" t="s">
        <v>834</v>
      </c>
      <c r="C227">
        <v>-27.54881</v>
      </c>
      <c r="D227">
        <v>153.02411000000001</v>
      </c>
    </row>
    <row r="228" spans="1:43" x14ac:dyDescent="0.25">
      <c r="A228">
        <v>1200</v>
      </c>
      <c r="B228" t="s">
        <v>793</v>
      </c>
      <c r="C228">
        <v>-27.550699999999999</v>
      </c>
      <c r="D228">
        <v>152.95400000000001</v>
      </c>
      <c r="AK228">
        <v>1000</v>
      </c>
      <c r="AO228">
        <v>1410</v>
      </c>
      <c r="AP228">
        <v>3100</v>
      </c>
    </row>
    <row r="229" spans="1:43" x14ac:dyDescent="0.25">
      <c r="A229">
        <v>1286</v>
      </c>
      <c r="B229" t="s">
        <v>835</v>
      </c>
      <c r="C229">
        <v>-27.5532</v>
      </c>
      <c r="D229">
        <v>153.2696</v>
      </c>
      <c r="AQ229">
        <v>0</v>
      </c>
    </row>
    <row r="230" spans="1:43" x14ac:dyDescent="0.25">
      <c r="A230">
        <v>1036</v>
      </c>
      <c r="B230" t="s">
        <v>794</v>
      </c>
      <c r="C230">
        <v>-27.554828000000001</v>
      </c>
      <c r="D230">
        <v>152.12664000000001</v>
      </c>
      <c r="AG230">
        <v>50</v>
      </c>
      <c r="AH230">
        <v>0</v>
      </c>
      <c r="AO230">
        <v>0</v>
      </c>
      <c r="AQ230">
        <v>0</v>
      </c>
    </row>
    <row r="231" spans="1:43" x14ac:dyDescent="0.25">
      <c r="A231">
        <v>1025</v>
      </c>
      <c r="B231" t="s">
        <v>545</v>
      </c>
      <c r="C231">
        <v>-27.557355000000001</v>
      </c>
      <c r="D231">
        <v>152.90761660000001</v>
      </c>
      <c r="AF231">
        <v>0</v>
      </c>
      <c r="AO231">
        <v>1860</v>
      </c>
      <c r="AP231">
        <v>0</v>
      </c>
    </row>
    <row r="232" spans="1:43" x14ac:dyDescent="0.25">
      <c r="A232">
        <v>819</v>
      </c>
      <c r="B232" t="s">
        <v>546</v>
      </c>
      <c r="C232">
        <v>-27.559103</v>
      </c>
      <c r="D232">
        <v>153.26793000000001</v>
      </c>
      <c r="M232">
        <v>0</v>
      </c>
      <c r="N232">
        <v>0</v>
      </c>
      <c r="Q232">
        <v>0</v>
      </c>
      <c r="AF232">
        <v>0</v>
      </c>
      <c r="AH232">
        <v>0</v>
      </c>
      <c r="AP232">
        <v>0</v>
      </c>
      <c r="AQ232">
        <v>0</v>
      </c>
    </row>
    <row r="233" spans="1:43" x14ac:dyDescent="0.25">
      <c r="A233">
        <v>554</v>
      </c>
      <c r="B233" t="s">
        <v>308</v>
      </c>
      <c r="C233">
        <v>-27.563324529999999</v>
      </c>
      <c r="D233">
        <v>151.99722370000001</v>
      </c>
      <c r="E233">
        <v>0</v>
      </c>
      <c r="G233">
        <v>400</v>
      </c>
      <c r="H233">
        <v>900</v>
      </c>
      <c r="AG233">
        <v>0</v>
      </c>
    </row>
    <row r="234" spans="1:43" x14ac:dyDescent="0.25">
      <c r="A234">
        <v>347</v>
      </c>
      <c r="B234" t="s">
        <v>309</v>
      </c>
      <c r="C234">
        <v>-27.564791</v>
      </c>
      <c r="D234">
        <v>152.27257800000001</v>
      </c>
      <c r="E234">
        <v>3000</v>
      </c>
      <c r="F234">
        <v>1375</v>
      </c>
      <c r="G234">
        <v>3000</v>
      </c>
      <c r="H234">
        <v>4000</v>
      </c>
      <c r="I234">
        <v>2800</v>
      </c>
      <c r="J234">
        <v>494</v>
      </c>
      <c r="L234">
        <v>2000</v>
      </c>
      <c r="M234">
        <v>300</v>
      </c>
      <c r="N234">
        <v>3225</v>
      </c>
      <c r="O234">
        <v>0</v>
      </c>
      <c r="P234">
        <v>0</v>
      </c>
      <c r="Q234">
        <v>0</v>
      </c>
      <c r="R234">
        <v>0</v>
      </c>
      <c r="S234">
        <v>3225</v>
      </c>
      <c r="T234">
        <v>0</v>
      </c>
      <c r="U234">
        <v>2980</v>
      </c>
      <c r="V234">
        <v>830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800</v>
      </c>
      <c r="AH234">
        <v>0</v>
      </c>
      <c r="AK234">
        <v>0</v>
      </c>
      <c r="AO234">
        <v>0</v>
      </c>
      <c r="AP234">
        <v>0</v>
      </c>
      <c r="AQ234">
        <v>0</v>
      </c>
    </row>
    <row r="235" spans="1:43" x14ac:dyDescent="0.25">
      <c r="A235">
        <v>745</v>
      </c>
      <c r="B235" t="s">
        <v>310</v>
      </c>
      <c r="C235">
        <v>-27.567530999999999</v>
      </c>
      <c r="D235">
        <v>153.04344800000001</v>
      </c>
      <c r="H235">
        <v>1600</v>
      </c>
      <c r="AC235">
        <v>0</v>
      </c>
      <c r="AE235">
        <v>0</v>
      </c>
      <c r="AG235">
        <v>200</v>
      </c>
      <c r="AH235">
        <v>340</v>
      </c>
      <c r="AK235">
        <v>500</v>
      </c>
      <c r="AP235">
        <v>0</v>
      </c>
    </row>
    <row r="236" spans="1:43" x14ac:dyDescent="0.25">
      <c r="A236">
        <v>577</v>
      </c>
      <c r="B236" t="s">
        <v>311</v>
      </c>
      <c r="C236">
        <v>-27.567961</v>
      </c>
      <c r="D236">
        <v>152.791192</v>
      </c>
      <c r="E236">
        <v>0</v>
      </c>
      <c r="F236">
        <v>0</v>
      </c>
      <c r="H236">
        <v>0</v>
      </c>
      <c r="L236">
        <v>100</v>
      </c>
      <c r="M236">
        <v>0</v>
      </c>
      <c r="Y236">
        <v>0</v>
      </c>
      <c r="AK236">
        <v>0</v>
      </c>
    </row>
    <row r="237" spans="1:43" x14ac:dyDescent="0.25">
      <c r="A237">
        <v>384</v>
      </c>
      <c r="B237" t="s">
        <v>312</v>
      </c>
      <c r="C237">
        <v>-27.570658999999999</v>
      </c>
      <c r="D237">
        <v>153.08498700000001</v>
      </c>
      <c r="E237">
        <v>0</v>
      </c>
      <c r="F237">
        <v>0</v>
      </c>
      <c r="G237">
        <v>0</v>
      </c>
      <c r="H237">
        <v>0</v>
      </c>
      <c r="I237">
        <v>16</v>
      </c>
      <c r="M237">
        <v>0</v>
      </c>
      <c r="O237">
        <v>0</v>
      </c>
      <c r="P237">
        <v>0</v>
      </c>
      <c r="Q237">
        <v>0</v>
      </c>
      <c r="S237">
        <v>0</v>
      </c>
      <c r="AK237">
        <v>0</v>
      </c>
      <c r="AO237">
        <v>0</v>
      </c>
      <c r="AQ237">
        <v>0</v>
      </c>
    </row>
    <row r="238" spans="1:43" x14ac:dyDescent="0.25">
      <c r="A238">
        <v>319</v>
      </c>
      <c r="B238" t="s">
        <v>313</v>
      </c>
      <c r="C238">
        <v>-27.572437000000001</v>
      </c>
      <c r="D238">
        <v>153.33121399999999</v>
      </c>
      <c r="E238">
        <v>0</v>
      </c>
      <c r="F238">
        <v>0</v>
      </c>
      <c r="G238">
        <v>100</v>
      </c>
      <c r="H238">
        <v>0</v>
      </c>
      <c r="I238">
        <v>0</v>
      </c>
      <c r="J238">
        <v>0</v>
      </c>
      <c r="K238">
        <v>0</v>
      </c>
      <c r="L238">
        <v>500</v>
      </c>
      <c r="M238">
        <v>0</v>
      </c>
      <c r="N238">
        <v>0</v>
      </c>
      <c r="O238">
        <v>250</v>
      </c>
      <c r="P238">
        <v>400</v>
      </c>
      <c r="R238">
        <v>0</v>
      </c>
      <c r="S238">
        <v>30</v>
      </c>
      <c r="T238">
        <v>0</v>
      </c>
      <c r="AQ238">
        <v>0</v>
      </c>
    </row>
    <row r="239" spans="1:43" x14ac:dyDescent="0.25">
      <c r="A239">
        <v>155</v>
      </c>
      <c r="B239" t="s">
        <v>314</v>
      </c>
      <c r="C239">
        <v>-27.579581940000001</v>
      </c>
      <c r="D239">
        <v>153.3039503</v>
      </c>
      <c r="E239">
        <v>280</v>
      </c>
      <c r="F239">
        <v>540</v>
      </c>
      <c r="G239">
        <v>0</v>
      </c>
      <c r="H239">
        <v>140</v>
      </c>
      <c r="I239">
        <v>800</v>
      </c>
      <c r="O239">
        <v>0</v>
      </c>
      <c r="Q239">
        <v>0</v>
      </c>
      <c r="AQ239">
        <v>0</v>
      </c>
    </row>
    <row r="240" spans="1:43" x14ac:dyDescent="0.25">
      <c r="A240">
        <v>452</v>
      </c>
      <c r="B240" t="s">
        <v>110</v>
      </c>
      <c r="C240">
        <v>-27.582594</v>
      </c>
      <c r="D240">
        <v>153.05237199999999</v>
      </c>
      <c r="L240">
        <v>250</v>
      </c>
      <c r="M240">
        <v>200</v>
      </c>
      <c r="N240">
        <v>0</v>
      </c>
      <c r="O240">
        <v>300</v>
      </c>
      <c r="P240">
        <v>80</v>
      </c>
      <c r="Q240">
        <v>0</v>
      </c>
      <c r="S240">
        <v>0</v>
      </c>
      <c r="X240">
        <v>0</v>
      </c>
      <c r="Y240">
        <v>400</v>
      </c>
      <c r="Z240">
        <v>50</v>
      </c>
      <c r="AA240">
        <v>0</v>
      </c>
      <c r="AB240">
        <v>0</v>
      </c>
      <c r="AD240">
        <v>570</v>
      </c>
      <c r="AE240">
        <v>0</v>
      </c>
      <c r="AF240">
        <v>200</v>
      </c>
      <c r="AK240">
        <v>100</v>
      </c>
      <c r="AQ240">
        <v>0</v>
      </c>
    </row>
    <row r="241" spans="1:43" x14ac:dyDescent="0.25">
      <c r="A241">
        <v>1235</v>
      </c>
      <c r="B241" t="s">
        <v>795</v>
      </c>
      <c r="C241">
        <v>-27.59216</v>
      </c>
      <c r="D241">
        <v>153.287407</v>
      </c>
      <c r="AQ241">
        <v>0</v>
      </c>
    </row>
    <row r="242" spans="1:43" x14ac:dyDescent="0.25">
      <c r="A242">
        <v>717</v>
      </c>
      <c r="B242" t="s">
        <v>315</v>
      </c>
      <c r="C242">
        <v>-27.594692999999999</v>
      </c>
      <c r="D242">
        <v>153.357358</v>
      </c>
      <c r="G242">
        <v>200</v>
      </c>
      <c r="H242">
        <v>0</v>
      </c>
      <c r="AC242">
        <v>0</v>
      </c>
      <c r="AQ242">
        <v>0</v>
      </c>
    </row>
    <row r="243" spans="1:43" x14ac:dyDescent="0.25">
      <c r="A243">
        <v>428</v>
      </c>
      <c r="B243" t="s">
        <v>316</v>
      </c>
      <c r="C243">
        <v>-27.599623999999999</v>
      </c>
      <c r="D243">
        <v>152.88016300000001</v>
      </c>
      <c r="E243">
        <v>100</v>
      </c>
      <c r="F243">
        <v>20</v>
      </c>
      <c r="H243">
        <v>400</v>
      </c>
      <c r="I243">
        <v>500</v>
      </c>
      <c r="J243">
        <v>0</v>
      </c>
      <c r="K243">
        <v>0</v>
      </c>
      <c r="L243">
        <v>0</v>
      </c>
      <c r="M243">
        <v>0</v>
      </c>
      <c r="O243">
        <v>0</v>
      </c>
      <c r="P243">
        <v>0</v>
      </c>
      <c r="R243">
        <v>0</v>
      </c>
      <c r="T243">
        <v>0</v>
      </c>
      <c r="U243">
        <v>0</v>
      </c>
      <c r="AK243">
        <v>0</v>
      </c>
      <c r="AP243">
        <v>600</v>
      </c>
    </row>
    <row r="244" spans="1:43" x14ac:dyDescent="0.25">
      <c r="A244">
        <v>461</v>
      </c>
      <c r="B244" t="s">
        <v>547</v>
      </c>
      <c r="C244">
        <v>-27.60086506</v>
      </c>
      <c r="D244">
        <v>151.93149679999999</v>
      </c>
      <c r="E244">
        <v>0</v>
      </c>
      <c r="F244">
        <v>0</v>
      </c>
      <c r="G244">
        <v>0</v>
      </c>
      <c r="H244">
        <v>0</v>
      </c>
    </row>
    <row r="245" spans="1:43" x14ac:dyDescent="0.25">
      <c r="A245">
        <v>462</v>
      </c>
      <c r="B245" t="s">
        <v>317</v>
      </c>
      <c r="C245">
        <v>-27.601012000000001</v>
      </c>
      <c r="D245">
        <v>151.94297800000001</v>
      </c>
      <c r="E245">
        <v>875</v>
      </c>
      <c r="F245">
        <v>0</v>
      </c>
      <c r="G245">
        <v>800</v>
      </c>
      <c r="H245">
        <v>650</v>
      </c>
      <c r="J245">
        <v>50</v>
      </c>
      <c r="M245">
        <v>0</v>
      </c>
      <c r="Q245">
        <v>50</v>
      </c>
      <c r="R245">
        <v>0</v>
      </c>
      <c r="S245">
        <v>300</v>
      </c>
      <c r="T245">
        <v>0</v>
      </c>
      <c r="U245">
        <v>600</v>
      </c>
      <c r="AB245">
        <v>0</v>
      </c>
      <c r="AC245">
        <v>0</v>
      </c>
      <c r="AF245">
        <v>160</v>
      </c>
      <c r="AG245">
        <v>400</v>
      </c>
      <c r="AH245">
        <v>30</v>
      </c>
      <c r="AO245">
        <v>355</v>
      </c>
      <c r="AP245">
        <v>90</v>
      </c>
      <c r="AQ245">
        <v>30</v>
      </c>
    </row>
    <row r="246" spans="1:43" x14ac:dyDescent="0.25">
      <c r="A246">
        <v>191</v>
      </c>
      <c r="B246" t="s">
        <v>111</v>
      </c>
      <c r="C246">
        <v>-27.603100000000001</v>
      </c>
      <c r="D246">
        <v>152.74850000000001</v>
      </c>
      <c r="E246">
        <v>2000</v>
      </c>
      <c r="F246">
        <v>300</v>
      </c>
      <c r="J246">
        <v>23</v>
      </c>
      <c r="K246">
        <v>7000</v>
      </c>
      <c r="L246">
        <v>0</v>
      </c>
      <c r="M246">
        <v>50</v>
      </c>
      <c r="O246">
        <v>0</v>
      </c>
      <c r="P246">
        <v>0</v>
      </c>
      <c r="Q246">
        <v>0</v>
      </c>
      <c r="R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50</v>
      </c>
      <c r="Z246">
        <v>0</v>
      </c>
      <c r="AA246">
        <v>0</v>
      </c>
      <c r="AB246">
        <v>0</v>
      </c>
      <c r="AC246">
        <v>500</v>
      </c>
      <c r="AD246">
        <v>0</v>
      </c>
      <c r="AE246">
        <v>0</v>
      </c>
      <c r="AG246">
        <v>300</v>
      </c>
      <c r="AH246">
        <v>0</v>
      </c>
      <c r="AK246">
        <v>0</v>
      </c>
      <c r="AO246">
        <v>0</v>
      </c>
      <c r="AP246">
        <v>0</v>
      </c>
    </row>
    <row r="247" spans="1:43" x14ac:dyDescent="0.25">
      <c r="A247">
        <v>805</v>
      </c>
      <c r="B247" t="s">
        <v>112</v>
      </c>
      <c r="C247">
        <v>-27.603300000000001</v>
      </c>
      <c r="D247">
        <v>152.6728</v>
      </c>
      <c r="L247">
        <v>950</v>
      </c>
      <c r="M247">
        <v>50</v>
      </c>
      <c r="O247">
        <v>0</v>
      </c>
      <c r="Q247">
        <v>2000</v>
      </c>
      <c r="R247">
        <v>0</v>
      </c>
      <c r="U247">
        <v>150</v>
      </c>
      <c r="V247">
        <v>0</v>
      </c>
      <c r="X247">
        <v>0</v>
      </c>
      <c r="Y247">
        <v>0</v>
      </c>
      <c r="Z247">
        <v>0</v>
      </c>
      <c r="AA247">
        <v>300</v>
      </c>
      <c r="AB247">
        <v>0</v>
      </c>
      <c r="AC247">
        <v>100</v>
      </c>
      <c r="AD247">
        <v>0</v>
      </c>
      <c r="AE247">
        <v>0</v>
      </c>
      <c r="AG247">
        <v>0</v>
      </c>
      <c r="AH247">
        <v>0</v>
      </c>
      <c r="AK247">
        <v>0</v>
      </c>
      <c r="AO247">
        <v>0</v>
      </c>
      <c r="AP247">
        <v>0</v>
      </c>
    </row>
    <row r="248" spans="1:43" x14ac:dyDescent="0.25">
      <c r="A248">
        <v>189</v>
      </c>
      <c r="B248" t="s">
        <v>548</v>
      </c>
      <c r="C248">
        <v>-27.604900000000001</v>
      </c>
      <c r="D248">
        <v>152.90280000000001</v>
      </c>
      <c r="E248">
        <v>0</v>
      </c>
    </row>
    <row r="249" spans="1:43" x14ac:dyDescent="0.25">
      <c r="A249">
        <v>1151</v>
      </c>
      <c r="B249" t="s">
        <v>796</v>
      </c>
      <c r="C249">
        <v>-27.605429000000001</v>
      </c>
      <c r="D249">
        <v>152.98452900000001</v>
      </c>
      <c r="AH249">
        <v>0</v>
      </c>
    </row>
    <row r="250" spans="1:43" x14ac:dyDescent="0.25">
      <c r="A250">
        <v>447</v>
      </c>
      <c r="B250" t="s">
        <v>318</v>
      </c>
      <c r="C250">
        <v>-27.609978000000002</v>
      </c>
      <c r="D250">
        <v>153.13629299999999</v>
      </c>
      <c r="E250">
        <v>0</v>
      </c>
      <c r="F250">
        <v>480</v>
      </c>
      <c r="G250">
        <v>400</v>
      </c>
      <c r="H250">
        <v>1200</v>
      </c>
      <c r="L250">
        <v>500</v>
      </c>
      <c r="M250">
        <v>180</v>
      </c>
      <c r="O250">
        <v>0</v>
      </c>
      <c r="AC250">
        <v>0</v>
      </c>
    </row>
    <row r="251" spans="1:43" x14ac:dyDescent="0.25">
      <c r="A251">
        <v>385</v>
      </c>
      <c r="B251" t="s">
        <v>319</v>
      </c>
      <c r="C251">
        <v>-27.6114</v>
      </c>
      <c r="D251">
        <v>153.3535</v>
      </c>
      <c r="E251">
        <v>150</v>
      </c>
      <c r="F251">
        <v>90</v>
      </c>
      <c r="G251">
        <v>0</v>
      </c>
      <c r="H251">
        <v>1746</v>
      </c>
      <c r="U251">
        <v>0</v>
      </c>
      <c r="AC251">
        <v>0</v>
      </c>
      <c r="AQ251">
        <v>0</v>
      </c>
    </row>
    <row r="252" spans="1:43" x14ac:dyDescent="0.25">
      <c r="A252">
        <v>574</v>
      </c>
      <c r="B252" t="s">
        <v>18</v>
      </c>
      <c r="C252">
        <v>-27.612423</v>
      </c>
      <c r="D252">
        <v>152.81272999999999</v>
      </c>
      <c r="E252">
        <v>40</v>
      </c>
      <c r="F252">
        <v>70</v>
      </c>
      <c r="H252">
        <v>600</v>
      </c>
      <c r="I252">
        <v>330</v>
      </c>
      <c r="L252">
        <v>450</v>
      </c>
      <c r="M252">
        <v>50</v>
      </c>
      <c r="O252">
        <v>0</v>
      </c>
      <c r="P252">
        <v>0</v>
      </c>
      <c r="Q252">
        <v>200</v>
      </c>
      <c r="R252">
        <v>0</v>
      </c>
      <c r="S252">
        <v>0</v>
      </c>
      <c r="T252">
        <v>0</v>
      </c>
      <c r="U252">
        <v>150</v>
      </c>
      <c r="V252">
        <v>200</v>
      </c>
      <c r="X252">
        <v>0</v>
      </c>
      <c r="Y252">
        <v>500</v>
      </c>
      <c r="Z252">
        <v>300</v>
      </c>
      <c r="AA252">
        <v>700</v>
      </c>
      <c r="AB252">
        <v>700</v>
      </c>
      <c r="AC252">
        <v>200</v>
      </c>
      <c r="AE252">
        <v>11000</v>
      </c>
      <c r="AG252">
        <v>600</v>
      </c>
      <c r="AH252">
        <v>500</v>
      </c>
      <c r="AK252">
        <v>75</v>
      </c>
      <c r="AO252">
        <v>1140</v>
      </c>
      <c r="AP252">
        <v>819</v>
      </c>
    </row>
    <row r="253" spans="1:43" x14ac:dyDescent="0.25">
      <c r="A253">
        <v>337</v>
      </c>
      <c r="B253" t="s">
        <v>320</v>
      </c>
      <c r="C253">
        <v>-27.614246000000001</v>
      </c>
      <c r="D253">
        <v>152.947948</v>
      </c>
      <c r="E253">
        <v>0</v>
      </c>
      <c r="F253">
        <v>0</v>
      </c>
      <c r="H253">
        <v>0</v>
      </c>
      <c r="M253">
        <v>0</v>
      </c>
      <c r="O253">
        <v>0</v>
      </c>
      <c r="AC253">
        <v>420</v>
      </c>
      <c r="AD253">
        <v>0</v>
      </c>
      <c r="AF253">
        <v>0</v>
      </c>
      <c r="AO253">
        <v>0</v>
      </c>
    </row>
    <row r="254" spans="1:43" x14ac:dyDescent="0.25">
      <c r="A254">
        <v>603</v>
      </c>
      <c r="B254" t="s">
        <v>321</v>
      </c>
      <c r="C254">
        <v>-27.616585000000001</v>
      </c>
      <c r="D254">
        <v>153.30378099999999</v>
      </c>
      <c r="F254">
        <v>0</v>
      </c>
      <c r="G254">
        <v>0</v>
      </c>
      <c r="H254">
        <v>0</v>
      </c>
      <c r="I254">
        <v>0</v>
      </c>
      <c r="O254">
        <v>0</v>
      </c>
      <c r="Q254">
        <v>0</v>
      </c>
      <c r="AC254">
        <v>0</v>
      </c>
      <c r="AQ254">
        <v>0</v>
      </c>
    </row>
    <row r="255" spans="1:43" x14ac:dyDescent="0.25">
      <c r="A255">
        <v>849</v>
      </c>
      <c r="B255" t="s">
        <v>322</v>
      </c>
      <c r="C255">
        <v>-27.617231</v>
      </c>
      <c r="D255">
        <v>153.11454499999999</v>
      </c>
      <c r="O255">
        <v>0</v>
      </c>
      <c r="AF255">
        <v>150</v>
      </c>
      <c r="AK255">
        <v>0</v>
      </c>
    </row>
    <row r="256" spans="1:43" x14ac:dyDescent="0.25">
      <c r="A256">
        <v>595</v>
      </c>
      <c r="B256" t="s">
        <v>113</v>
      </c>
      <c r="C256">
        <v>-27.619142</v>
      </c>
      <c r="D256">
        <v>152.76786100000001</v>
      </c>
      <c r="F256">
        <v>0</v>
      </c>
      <c r="H256">
        <v>0</v>
      </c>
      <c r="I256">
        <v>0</v>
      </c>
      <c r="L256">
        <v>0</v>
      </c>
      <c r="M256">
        <v>0</v>
      </c>
      <c r="O256">
        <v>0</v>
      </c>
      <c r="P256">
        <v>0</v>
      </c>
      <c r="R256">
        <v>0</v>
      </c>
      <c r="X256">
        <v>0</v>
      </c>
      <c r="Y256">
        <v>999</v>
      </c>
      <c r="Z256">
        <v>0</v>
      </c>
      <c r="AB256">
        <v>0</v>
      </c>
      <c r="AC256">
        <v>100</v>
      </c>
      <c r="AD256">
        <v>500</v>
      </c>
      <c r="AE256">
        <v>0</v>
      </c>
      <c r="AG256">
        <v>200</v>
      </c>
      <c r="AH256">
        <v>250</v>
      </c>
      <c r="AK256">
        <v>500</v>
      </c>
      <c r="AO256">
        <v>6050</v>
      </c>
      <c r="AP256">
        <v>1740</v>
      </c>
    </row>
    <row r="257" spans="1:43" x14ac:dyDescent="0.25">
      <c r="A257">
        <v>372</v>
      </c>
      <c r="B257" t="s">
        <v>114</v>
      </c>
      <c r="C257">
        <v>-27.620557999999999</v>
      </c>
      <c r="D257">
        <v>152.394769</v>
      </c>
      <c r="E257">
        <v>2000</v>
      </c>
      <c r="F257">
        <v>80</v>
      </c>
      <c r="G257">
        <v>400</v>
      </c>
      <c r="H257">
        <v>400</v>
      </c>
      <c r="J257">
        <v>332</v>
      </c>
      <c r="M257">
        <v>200</v>
      </c>
      <c r="N257">
        <v>0</v>
      </c>
      <c r="O257">
        <v>0</v>
      </c>
      <c r="P257">
        <v>0</v>
      </c>
      <c r="Q257">
        <v>0</v>
      </c>
      <c r="R257">
        <v>0</v>
      </c>
      <c r="T257">
        <v>0</v>
      </c>
      <c r="U257">
        <v>180</v>
      </c>
      <c r="Z257">
        <v>0</v>
      </c>
      <c r="AA257">
        <v>500</v>
      </c>
      <c r="AB257">
        <v>0</v>
      </c>
      <c r="AC257">
        <v>740</v>
      </c>
      <c r="AE257">
        <v>0</v>
      </c>
      <c r="AF257">
        <v>1600</v>
      </c>
      <c r="AG257">
        <v>4700</v>
      </c>
      <c r="AH257">
        <v>360</v>
      </c>
      <c r="AK257">
        <v>200</v>
      </c>
      <c r="AO257">
        <v>50</v>
      </c>
      <c r="AP257">
        <v>0</v>
      </c>
      <c r="AQ257">
        <v>0</v>
      </c>
    </row>
    <row r="258" spans="1:43" x14ac:dyDescent="0.25">
      <c r="A258">
        <v>431</v>
      </c>
      <c r="B258" t="s">
        <v>323</v>
      </c>
      <c r="C258">
        <v>-27.620871000000001</v>
      </c>
      <c r="D258">
        <v>153.30677800000001</v>
      </c>
      <c r="E258">
        <v>76</v>
      </c>
      <c r="F258">
        <v>0</v>
      </c>
      <c r="G258">
        <v>0</v>
      </c>
      <c r="H258">
        <v>1920</v>
      </c>
      <c r="I258">
        <v>0</v>
      </c>
      <c r="O258">
        <v>300</v>
      </c>
      <c r="Q258">
        <v>0</v>
      </c>
      <c r="AC258">
        <v>0</v>
      </c>
      <c r="AQ258">
        <v>0</v>
      </c>
    </row>
    <row r="259" spans="1:43" x14ac:dyDescent="0.25">
      <c r="A259">
        <v>300</v>
      </c>
      <c r="B259" t="s">
        <v>549</v>
      </c>
      <c r="C259">
        <v>-27.621157</v>
      </c>
      <c r="D259">
        <v>153.03648200000001</v>
      </c>
      <c r="E259">
        <v>0</v>
      </c>
      <c r="F259">
        <v>0</v>
      </c>
      <c r="G259">
        <v>0</v>
      </c>
      <c r="H259">
        <v>0</v>
      </c>
      <c r="M259">
        <v>0</v>
      </c>
      <c r="O259">
        <v>0</v>
      </c>
      <c r="W259">
        <v>0</v>
      </c>
      <c r="AA259">
        <v>0</v>
      </c>
      <c r="AB259">
        <v>0</v>
      </c>
      <c r="AE259">
        <v>0</v>
      </c>
      <c r="AF259">
        <v>0</v>
      </c>
      <c r="AK259">
        <v>0</v>
      </c>
      <c r="AQ259">
        <v>250</v>
      </c>
    </row>
    <row r="260" spans="1:43" x14ac:dyDescent="0.25">
      <c r="A260">
        <v>996</v>
      </c>
      <c r="B260" t="s">
        <v>324</v>
      </c>
      <c r="C260">
        <v>-27.621600000000001</v>
      </c>
      <c r="D260">
        <v>153.36760000000001</v>
      </c>
      <c r="AC260">
        <v>375</v>
      </c>
    </row>
    <row r="261" spans="1:43" x14ac:dyDescent="0.25">
      <c r="A261">
        <v>598</v>
      </c>
      <c r="B261" t="s">
        <v>550</v>
      </c>
      <c r="C261">
        <v>-27.624741</v>
      </c>
      <c r="D261">
        <v>153.31013200000001</v>
      </c>
      <c r="F261">
        <v>0</v>
      </c>
      <c r="G261">
        <v>0</v>
      </c>
      <c r="H261">
        <v>0</v>
      </c>
      <c r="I261">
        <v>0</v>
      </c>
      <c r="O261">
        <v>0</v>
      </c>
      <c r="AC261">
        <v>0</v>
      </c>
      <c r="AQ261">
        <v>0</v>
      </c>
    </row>
    <row r="262" spans="1:43" x14ac:dyDescent="0.25">
      <c r="A262">
        <v>744</v>
      </c>
      <c r="B262" t="s">
        <v>325</v>
      </c>
      <c r="C262">
        <v>-27.627379999999999</v>
      </c>
      <c r="D262">
        <v>153.05652499999999</v>
      </c>
      <c r="H262">
        <v>132</v>
      </c>
      <c r="J262">
        <v>0</v>
      </c>
      <c r="K262">
        <v>1250</v>
      </c>
      <c r="L262">
        <v>1008</v>
      </c>
      <c r="M262">
        <v>1600</v>
      </c>
      <c r="O262">
        <v>300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5</v>
      </c>
      <c r="W262">
        <v>0</v>
      </c>
      <c r="AA262">
        <v>0</v>
      </c>
      <c r="AB262">
        <v>0</v>
      </c>
      <c r="AF262">
        <v>0</v>
      </c>
      <c r="AK262">
        <v>50</v>
      </c>
      <c r="AO262">
        <v>535</v>
      </c>
      <c r="AP262">
        <v>0</v>
      </c>
      <c r="AQ262">
        <v>0</v>
      </c>
    </row>
    <row r="263" spans="1:43" x14ac:dyDescent="0.25">
      <c r="A263">
        <v>373</v>
      </c>
      <c r="B263" t="s">
        <v>326</v>
      </c>
      <c r="C263">
        <v>-27.627400000000002</v>
      </c>
      <c r="D263">
        <v>153.37530000000001</v>
      </c>
      <c r="E263">
        <v>20</v>
      </c>
      <c r="F263">
        <v>20</v>
      </c>
      <c r="G263">
        <v>490</v>
      </c>
      <c r="H263">
        <v>0</v>
      </c>
      <c r="I263">
        <v>0</v>
      </c>
      <c r="J263">
        <v>0</v>
      </c>
      <c r="AC263">
        <v>0</v>
      </c>
      <c r="AQ263">
        <v>0</v>
      </c>
    </row>
    <row r="264" spans="1:43" x14ac:dyDescent="0.25">
      <c r="A264">
        <v>419</v>
      </c>
      <c r="B264" t="s">
        <v>115</v>
      </c>
      <c r="C264">
        <v>-27.63034</v>
      </c>
      <c r="D264">
        <v>153.033682</v>
      </c>
      <c r="E264">
        <v>4900</v>
      </c>
      <c r="F264">
        <v>1500</v>
      </c>
      <c r="G264">
        <v>3000</v>
      </c>
      <c r="H264">
        <v>15200</v>
      </c>
      <c r="J264">
        <v>0</v>
      </c>
      <c r="K264">
        <v>0</v>
      </c>
      <c r="L264">
        <v>7000</v>
      </c>
      <c r="M264">
        <v>1</v>
      </c>
      <c r="N264">
        <v>0</v>
      </c>
      <c r="O264">
        <v>0</v>
      </c>
      <c r="Q264">
        <v>0</v>
      </c>
      <c r="R264">
        <v>0</v>
      </c>
      <c r="S264">
        <v>140</v>
      </c>
      <c r="T264">
        <v>500</v>
      </c>
      <c r="U264">
        <v>700</v>
      </c>
      <c r="V264">
        <v>50</v>
      </c>
      <c r="W264">
        <v>300</v>
      </c>
      <c r="Z264">
        <v>0</v>
      </c>
      <c r="AA264">
        <v>405</v>
      </c>
      <c r="AB264">
        <v>0</v>
      </c>
      <c r="AF264">
        <v>0</v>
      </c>
      <c r="AK264">
        <v>0</v>
      </c>
      <c r="AO264">
        <v>0</v>
      </c>
      <c r="AQ264">
        <v>0</v>
      </c>
    </row>
    <row r="265" spans="1:43" x14ac:dyDescent="0.25">
      <c r="A265">
        <v>140</v>
      </c>
      <c r="B265" t="s">
        <v>116</v>
      </c>
      <c r="C265">
        <v>-27.630429240000002</v>
      </c>
      <c r="D265">
        <v>152.92060000000001</v>
      </c>
      <c r="E265">
        <v>100</v>
      </c>
      <c r="F265">
        <v>1000</v>
      </c>
      <c r="H265">
        <v>1294</v>
      </c>
      <c r="I265">
        <v>625</v>
      </c>
      <c r="J265">
        <v>0</v>
      </c>
      <c r="L265">
        <v>18000</v>
      </c>
      <c r="M265">
        <v>100</v>
      </c>
      <c r="O265">
        <v>0</v>
      </c>
      <c r="P265">
        <v>0</v>
      </c>
      <c r="Q265">
        <v>200</v>
      </c>
      <c r="R265">
        <v>0</v>
      </c>
      <c r="T265">
        <v>0</v>
      </c>
      <c r="U265">
        <v>300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2000</v>
      </c>
      <c r="AB265">
        <v>500</v>
      </c>
      <c r="AC265">
        <v>200</v>
      </c>
      <c r="AD265">
        <v>500</v>
      </c>
      <c r="AE265">
        <v>0</v>
      </c>
      <c r="AG265">
        <v>100</v>
      </c>
      <c r="AH265">
        <v>5</v>
      </c>
      <c r="AK265">
        <v>0</v>
      </c>
      <c r="AP265">
        <v>0</v>
      </c>
    </row>
    <row r="266" spans="1:43" x14ac:dyDescent="0.25">
      <c r="A266">
        <v>1035</v>
      </c>
      <c r="B266" t="s">
        <v>797</v>
      </c>
      <c r="C266">
        <v>-27.632688000000002</v>
      </c>
      <c r="D266">
        <v>152.59014400000001</v>
      </c>
      <c r="AG266">
        <v>150</v>
      </c>
      <c r="AH266">
        <v>0</v>
      </c>
    </row>
    <row r="267" spans="1:43" x14ac:dyDescent="0.25">
      <c r="A267">
        <v>1152</v>
      </c>
      <c r="B267" t="s">
        <v>798</v>
      </c>
      <c r="C267">
        <v>-27.633109999999999</v>
      </c>
      <c r="D267">
        <v>152.91362000000001</v>
      </c>
      <c r="AH267">
        <v>0</v>
      </c>
      <c r="AK267">
        <v>0</v>
      </c>
    </row>
    <row r="268" spans="1:43" x14ac:dyDescent="0.25">
      <c r="A268">
        <v>188</v>
      </c>
      <c r="B268" t="s">
        <v>551</v>
      </c>
      <c r="C268">
        <v>-27.63813</v>
      </c>
      <c r="D268">
        <v>152.41023000000001</v>
      </c>
      <c r="AH268">
        <v>0</v>
      </c>
    </row>
    <row r="269" spans="1:43" x14ac:dyDescent="0.25">
      <c r="A269">
        <v>441</v>
      </c>
      <c r="B269" t="s">
        <v>327</v>
      </c>
      <c r="C269">
        <v>-27.6402</v>
      </c>
      <c r="D269">
        <v>153.13730000000001</v>
      </c>
      <c r="E269">
        <v>0</v>
      </c>
      <c r="F269">
        <v>0</v>
      </c>
      <c r="G269">
        <v>160</v>
      </c>
      <c r="H269">
        <v>0</v>
      </c>
      <c r="AC269">
        <v>0</v>
      </c>
      <c r="AK269">
        <v>0</v>
      </c>
      <c r="AO269">
        <v>0</v>
      </c>
      <c r="AQ269">
        <v>0</v>
      </c>
    </row>
    <row r="270" spans="1:43" x14ac:dyDescent="0.25">
      <c r="A270">
        <v>215</v>
      </c>
      <c r="B270" t="s">
        <v>117</v>
      </c>
      <c r="C270">
        <v>-27.640243999999999</v>
      </c>
      <c r="D270">
        <v>152.38570300000001</v>
      </c>
      <c r="AB270">
        <v>0</v>
      </c>
      <c r="AD270">
        <v>500</v>
      </c>
    </row>
    <row r="271" spans="1:43" x14ac:dyDescent="0.25">
      <c r="A271">
        <v>430</v>
      </c>
      <c r="B271" t="s">
        <v>328</v>
      </c>
      <c r="C271">
        <v>-27.642088000000001</v>
      </c>
      <c r="D271">
        <v>153.30853300000001</v>
      </c>
      <c r="E271">
        <v>30</v>
      </c>
      <c r="F271">
        <v>0</v>
      </c>
      <c r="G271">
        <v>0</v>
      </c>
      <c r="H271">
        <v>0</v>
      </c>
      <c r="I271">
        <v>0</v>
      </c>
      <c r="O271">
        <v>0</v>
      </c>
    </row>
    <row r="272" spans="1:43" x14ac:dyDescent="0.25">
      <c r="A272">
        <v>596</v>
      </c>
      <c r="B272" t="s">
        <v>329</v>
      </c>
      <c r="C272">
        <v>-27.645150999999998</v>
      </c>
      <c r="D272">
        <v>153.097612</v>
      </c>
      <c r="F272">
        <v>0</v>
      </c>
      <c r="G272">
        <v>0</v>
      </c>
      <c r="H272">
        <v>40</v>
      </c>
      <c r="L272">
        <v>0</v>
      </c>
      <c r="M272">
        <v>300</v>
      </c>
      <c r="O272">
        <v>0</v>
      </c>
      <c r="Q272">
        <v>0</v>
      </c>
      <c r="R272">
        <v>0</v>
      </c>
      <c r="AC272">
        <v>0</v>
      </c>
    </row>
    <row r="273" spans="1:43" x14ac:dyDescent="0.25">
      <c r="A273">
        <v>643</v>
      </c>
      <c r="B273" t="s">
        <v>330</v>
      </c>
      <c r="C273">
        <v>-27.6478</v>
      </c>
      <c r="D273">
        <v>153.37889999999999</v>
      </c>
      <c r="F273">
        <v>80</v>
      </c>
    </row>
    <row r="274" spans="1:43" x14ac:dyDescent="0.25">
      <c r="A274">
        <v>878</v>
      </c>
      <c r="B274" t="s">
        <v>331</v>
      </c>
      <c r="C274">
        <v>-27.650829999999999</v>
      </c>
      <c r="D274">
        <v>152.65020000000001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G274">
        <v>0</v>
      </c>
      <c r="AH274">
        <v>0</v>
      </c>
      <c r="AK274">
        <v>0</v>
      </c>
      <c r="AP274">
        <v>735</v>
      </c>
    </row>
    <row r="275" spans="1:43" x14ac:dyDescent="0.25">
      <c r="A275">
        <v>479</v>
      </c>
      <c r="B275" t="s">
        <v>118</v>
      </c>
      <c r="C275">
        <v>-27.651449</v>
      </c>
      <c r="D275">
        <v>152.75560100000001</v>
      </c>
      <c r="E275">
        <v>0</v>
      </c>
      <c r="F275">
        <v>0</v>
      </c>
      <c r="H275">
        <v>500</v>
      </c>
      <c r="I275">
        <v>0</v>
      </c>
      <c r="L275">
        <v>3000</v>
      </c>
      <c r="M275">
        <v>3000</v>
      </c>
      <c r="N275">
        <v>1000</v>
      </c>
      <c r="O275">
        <v>0</v>
      </c>
      <c r="R275">
        <v>500</v>
      </c>
      <c r="S275">
        <v>996</v>
      </c>
      <c r="T275">
        <v>0</v>
      </c>
      <c r="U275">
        <v>1250</v>
      </c>
      <c r="V275">
        <v>0</v>
      </c>
      <c r="W275">
        <v>0</v>
      </c>
      <c r="X275">
        <v>0</v>
      </c>
      <c r="Z275">
        <v>0</v>
      </c>
      <c r="AA275">
        <v>1000</v>
      </c>
      <c r="AB275">
        <v>500</v>
      </c>
      <c r="AC275">
        <v>500</v>
      </c>
      <c r="AD275">
        <v>500</v>
      </c>
      <c r="AE275">
        <v>0</v>
      </c>
      <c r="AG275">
        <v>0</v>
      </c>
      <c r="AH275">
        <v>0</v>
      </c>
      <c r="AK275">
        <v>500</v>
      </c>
      <c r="AP275">
        <v>0</v>
      </c>
    </row>
    <row r="276" spans="1:43" x14ac:dyDescent="0.25">
      <c r="A276">
        <v>573</v>
      </c>
      <c r="B276" t="s">
        <v>552</v>
      </c>
      <c r="C276">
        <v>-27.657157999999999</v>
      </c>
      <c r="D276">
        <v>152.689539</v>
      </c>
      <c r="E276">
        <v>0</v>
      </c>
      <c r="F276">
        <v>0</v>
      </c>
      <c r="H276">
        <v>0</v>
      </c>
    </row>
    <row r="277" spans="1:43" x14ac:dyDescent="0.25">
      <c r="A277">
        <v>377</v>
      </c>
      <c r="B277" t="s">
        <v>119</v>
      </c>
      <c r="C277">
        <v>-27.667000000000002</v>
      </c>
      <c r="D277">
        <v>153.1773</v>
      </c>
      <c r="E277">
        <v>400</v>
      </c>
      <c r="F277">
        <v>480</v>
      </c>
      <c r="G277">
        <v>350</v>
      </c>
      <c r="H277">
        <v>3600</v>
      </c>
      <c r="J277">
        <v>0</v>
      </c>
      <c r="K277">
        <v>100</v>
      </c>
      <c r="L277">
        <v>3800</v>
      </c>
      <c r="M277">
        <v>2000</v>
      </c>
      <c r="O277">
        <v>0</v>
      </c>
      <c r="R277">
        <v>0</v>
      </c>
      <c r="S277">
        <v>800</v>
      </c>
      <c r="T277">
        <v>500</v>
      </c>
      <c r="U277">
        <v>500</v>
      </c>
      <c r="V277">
        <v>50</v>
      </c>
      <c r="X277">
        <v>700</v>
      </c>
      <c r="AC277">
        <v>1920</v>
      </c>
      <c r="AD277">
        <v>700</v>
      </c>
      <c r="AF277">
        <v>0</v>
      </c>
      <c r="AG277">
        <v>525</v>
      </c>
      <c r="AH277">
        <v>544</v>
      </c>
      <c r="AK277">
        <v>400</v>
      </c>
      <c r="AO277">
        <v>2000</v>
      </c>
      <c r="AP277">
        <v>150</v>
      </c>
      <c r="AQ277">
        <v>100</v>
      </c>
    </row>
    <row r="278" spans="1:43" x14ac:dyDescent="0.25">
      <c r="A278">
        <v>432</v>
      </c>
      <c r="B278" t="s">
        <v>553</v>
      </c>
      <c r="C278">
        <v>-27.670041000000001</v>
      </c>
      <c r="D278">
        <v>153.04813899999999</v>
      </c>
      <c r="E278">
        <v>0</v>
      </c>
      <c r="F278">
        <v>0</v>
      </c>
      <c r="G278">
        <v>0</v>
      </c>
      <c r="H278">
        <v>0</v>
      </c>
      <c r="M278">
        <v>0</v>
      </c>
      <c r="O278">
        <v>0</v>
      </c>
      <c r="X278">
        <v>0</v>
      </c>
      <c r="AC278">
        <v>0</v>
      </c>
      <c r="AD278">
        <v>0</v>
      </c>
      <c r="AF278">
        <v>0</v>
      </c>
      <c r="AK278">
        <v>0</v>
      </c>
      <c r="AO278">
        <v>0</v>
      </c>
      <c r="AQ278">
        <v>0</v>
      </c>
    </row>
    <row r="279" spans="1:43" x14ac:dyDescent="0.25">
      <c r="A279">
        <v>433</v>
      </c>
      <c r="B279" t="s">
        <v>332</v>
      </c>
      <c r="C279">
        <v>-27.680012999999999</v>
      </c>
      <c r="D279">
        <v>153.03698700000001</v>
      </c>
      <c r="E279">
        <v>0</v>
      </c>
      <c r="F279">
        <v>0</v>
      </c>
      <c r="G279">
        <v>16000</v>
      </c>
      <c r="H279">
        <v>9680</v>
      </c>
      <c r="J279">
        <v>5</v>
      </c>
      <c r="K279">
        <v>0</v>
      </c>
      <c r="M279">
        <v>4200</v>
      </c>
      <c r="N279">
        <v>0</v>
      </c>
      <c r="O279">
        <v>0</v>
      </c>
      <c r="Q279">
        <v>0</v>
      </c>
      <c r="R279">
        <v>0</v>
      </c>
      <c r="T279">
        <v>100</v>
      </c>
      <c r="U279">
        <v>2500</v>
      </c>
      <c r="V279">
        <v>100</v>
      </c>
      <c r="W279">
        <v>0</v>
      </c>
      <c r="AD279">
        <v>0</v>
      </c>
      <c r="AF279">
        <v>0</v>
      </c>
      <c r="AK279">
        <v>0</v>
      </c>
      <c r="AO279">
        <v>20000</v>
      </c>
      <c r="AP279">
        <v>0</v>
      </c>
      <c r="AQ279">
        <v>0</v>
      </c>
    </row>
    <row r="280" spans="1:43" x14ac:dyDescent="0.25">
      <c r="A280">
        <v>1203</v>
      </c>
      <c r="B280" t="s">
        <v>799</v>
      </c>
      <c r="C280">
        <v>-27.682200000000002</v>
      </c>
      <c r="D280">
        <v>153.08029999999999</v>
      </c>
      <c r="AK280">
        <v>500</v>
      </c>
    </row>
    <row r="281" spans="1:43" x14ac:dyDescent="0.25">
      <c r="A281">
        <v>332</v>
      </c>
      <c r="B281" t="s">
        <v>554</v>
      </c>
      <c r="C281">
        <v>-27.690709999999999</v>
      </c>
      <c r="D281">
        <v>153.24408500000001</v>
      </c>
      <c r="E281">
        <v>0</v>
      </c>
      <c r="F281">
        <v>0</v>
      </c>
      <c r="G281">
        <v>0</v>
      </c>
      <c r="H281">
        <v>0</v>
      </c>
      <c r="AH281">
        <v>0</v>
      </c>
    </row>
    <row r="282" spans="1:43" x14ac:dyDescent="0.25">
      <c r="A282">
        <v>555</v>
      </c>
      <c r="B282" t="s">
        <v>555</v>
      </c>
      <c r="C282">
        <v>-27.69509</v>
      </c>
      <c r="D282">
        <v>151.30852999999999</v>
      </c>
      <c r="E282">
        <v>0</v>
      </c>
      <c r="G282">
        <v>0</v>
      </c>
      <c r="AD282">
        <v>0</v>
      </c>
    </row>
    <row r="283" spans="1:43" x14ac:dyDescent="0.25">
      <c r="A283">
        <v>848</v>
      </c>
      <c r="B283" t="s">
        <v>333</v>
      </c>
      <c r="C283">
        <v>-27.696822999999998</v>
      </c>
      <c r="D283">
        <v>153.02683099999999</v>
      </c>
      <c r="O283">
        <v>0</v>
      </c>
      <c r="AD283">
        <v>0</v>
      </c>
      <c r="AF283">
        <v>900</v>
      </c>
      <c r="AP283">
        <v>0</v>
      </c>
      <c r="AQ283">
        <v>0</v>
      </c>
    </row>
    <row r="284" spans="1:43" x14ac:dyDescent="0.25">
      <c r="A284">
        <v>138</v>
      </c>
      <c r="B284" t="s">
        <v>120</v>
      </c>
      <c r="C284">
        <v>-27.701121149999999</v>
      </c>
      <c r="D284">
        <v>153.19165079999999</v>
      </c>
      <c r="E284">
        <v>0</v>
      </c>
      <c r="F284">
        <v>0</v>
      </c>
      <c r="G284">
        <v>0</v>
      </c>
      <c r="H284">
        <v>0</v>
      </c>
      <c r="M284">
        <v>0</v>
      </c>
      <c r="Y284">
        <v>400</v>
      </c>
      <c r="Z284">
        <v>2764</v>
      </c>
      <c r="AC284">
        <v>0</v>
      </c>
      <c r="AF284">
        <v>0</v>
      </c>
      <c r="AG284">
        <v>0</v>
      </c>
      <c r="AH284">
        <v>0</v>
      </c>
      <c r="AK284">
        <v>0</v>
      </c>
      <c r="AO284">
        <v>0</v>
      </c>
      <c r="AQ284">
        <v>0</v>
      </c>
    </row>
    <row r="285" spans="1:43" x14ac:dyDescent="0.25">
      <c r="A285">
        <v>550</v>
      </c>
      <c r="B285" t="s">
        <v>556</v>
      </c>
      <c r="C285">
        <v>-27.703700000000001</v>
      </c>
      <c r="D285">
        <v>153.3888</v>
      </c>
      <c r="E285">
        <v>0</v>
      </c>
      <c r="G285">
        <v>0</v>
      </c>
      <c r="H285">
        <v>0</v>
      </c>
      <c r="I285">
        <v>0</v>
      </c>
      <c r="N285">
        <v>0</v>
      </c>
    </row>
    <row r="286" spans="1:43" x14ac:dyDescent="0.25">
      <c r="A286">
        <v>562</v>
      </c>
      <c r="B286" t="s">
        <v>557</v>
      </c>
      <c r="C286">
        <v>-27.708465</v>
      </c>
      <c r="D286">
        <v>151.638824</v>
      </c>
      <c r="AD286">
        <v>0</v>
      </c>
      <c r="AE286">
        <v>0</v>
      </c>
      <c r="AG286">
        <v>0</v>
      </c>
    </row>
    <row r="287" spans="1:43" x14ac:dyDescent="0.25">
      <c r="A287">
        <v>281</v>
      </c>
      <c r="B287" t="s">
        <v>121</v>
      </c>
      <c r="C287">
        <v>-27.708984000000001</v>
      </c>
      <c r="D287">
        <v>153.19634099999999</v>
      </c>
      <c r="E287">
        <v>100</v>
      </c>
      <c r="F287">
        <v>0</v>
      </c>
      <c r="G287">
        <v>50</v>
      </c>
      <c r="H287">
        <v>2800</v>
      </c>
      <c r="I287">
        <v>800</v>
      </c>
      <c r="J287">
        <v>240</v>
      </c>
      <c r="L287">
        <v>0</v>
      </c>
      <c r="M287">
        <v>310</v>
      </c>
      <c r="N287">
        <v>2280</v>
      </c>
      <c r="O287">
        <v>0</v>
      </c>
      <c r="Q287">
        <v>50</v>
      </c>
      <c r="R287">
        <v>1225</v>
      </c>
      <c r="S287">
        <v>0</v>
      </c>
      <c r="T287">
        <v>0</v>
      </c>
      <c r="U287">
        <v>1440</v>
      </c>
      <c r="V287">
        <v>0</v>
      </c>
      <c r="X287">
        <v>1200</v>
      </c>
      <c r="Y287">
        <v>2000</v>
      </c>
      <c r="Z287">
        <v>1006</v>
      </c>
      <c r="AC287">
        <v>340</v>
      </c>
      <c r="AF287">
        <v>0</v>
      </c>
      <c r="AG287">
        <v>360</v>
      </c>
      <c r="AH287">
        <v>856</v>
      </c>
      <c r="AK287">
        <v>500</v>
      </c>
      <c r="AO287">
        <v>625</v>
      </c>
      <c r="AP287">
        <v>10000</v>
      </c>
      <c r="AQ287">
        <v>0</v>
      </c>
    </row>
    <row r="288" spans="1:43" x14ac:dyDescent="0.25">
      <c r="A288">
        <v>561</v>
      </c>
      <c r="B288" t="s">
        <v>558</v>
      </c>
      <c r="C288">
        <v>-27.712527999999999</v>
      </c>
      <c r="D288">
        <v>151.634861</v>
      </c>
      <c r="E288">
        <v>0</v>
      </c>
      <c r="G288">
        <v>0</v>
      </c>
      <c r="AD288">
        <v>0</v>
      </c>
      <c r="AE288">
        <v>0</v>
      </c>
      <c r="AG288">
        <v>0</v>
      </c>
    </row>
    <row r="289" spans="1:43" x14ac:dyDescent="0.25">
      <c r="A289">
        <v>178</v>
      </c>
      <c r="B289" t="s">
        <v>559</v>
      </c>
      <c r="C289">
        <v>-27.7179231</v>
      </c>
      <c r="D289">
        <v>152.3278454</v>
      </c>
      <c r="E289">
        <v>0</v>
      </c>
    </row>
    <row r="290" spans="1:43" x14ac:dyDescent="0.25">
      <c r="A290">
        <v>1017</v>
      </c>
      <c r="B290" t="s">
        <v>560</v>
      </c>
      <c r="C290">
        <v>-27.722054</v>
      </c>
      <c r="D290">
        <v>151.633725</v>
      </c>
      <c r="AF290">
        <v>0</v>
      </c>
      <c r="AG290">
        <v>0</v>
      </c>
      <c r="AK290">
        <v>0</v>
      </c>
    </row>
    <row r="291" spans="1:43" x14ac:dyDescent="0.25">
      <c r="A291">
        <v>401</v>
      </c>
      <c r="B291" t="s">
        <v>334</v>
      </c>
      <c r="C291">
        <v>-27.736965999999999</v>
      </c>
      <c r="D291">
        <v>153.19833800000001</v>
      </c>
      <c r="E291">
        <v>1200</v>
      </c>
      <c r="F291">
        <v>600</v>
      </c>
      <c r="G291">
        <v>500</v>
      </c>
      <c r="H291">
        <v>360</v>
      </c>
      <c r="I291">
        <v>1000</v>
      </c>
      <c r="J291">
        <v>0</v>
      </c>
      <c r="L291">
        <v>5000</v>
      </c>
      <c r="M291">
        <v>0</v>
      </c>
      <c r="N291">
        <v>0</v>
      </c>
      <c r="O291">
        <v>360</v>
      </c>
      <c r="Q291">
        <v>0</v>
      </c>
      <c r="R291">
        <v>0</v>
      </c>
      <c r="S291">
        <v>560</v>
      </c>
      <c r="T291">
        <v>600</v>
      </c>
      <c r="U291">
        <v>700</v>
      </c>
      <c r="V291">
        <v>0</v>
      </c>
      <c r="X291">
        <v>0</v>
      </c>
      <c r="Y291">
        <v>0</v>
      </c>
      <c r="AC291">
        <v>780</v>
      </c>
      <c r="AF291">
        <v>150</v>
      </c>
      <c r="AG291">
        <v>0</v>
      </c>
      <c r="AH291">
        <v>86</v>
      </c>
      <c r="AK291">
        <v>250</v>
      </c>
      <c r="AO291">
        <v>0</v>
      </c>
      <c r="AP291">
        <v>0</v>
      </c>
      <c r="AQ291">
        <v>0</v>
      </c>
    </row>
    <row r="292" spans="1:43" x14ac:dyDescent="0.25">
      <c r="A292">
        <v>413</v>
      </c>
      <c r="B292" t="s">
        <v>561</v>
      </c>
      <c r="C292">
        <v>-27.775759999999998</v>
      </c>
      <c r="D292">
        <v>153.24289400000001</v>
      </c>
      <c r="E292">
        <v>0</v>
      </c>
      <c r="F292">
        <v>0</v>
      </c>
      <c r="G292">
        <v>0</v>
      </c>
      <c r="H292">
        <v>0</v>
      </c>
      <c r="Q292">
        <v>0</v>
      </c>
    </row>
    <row r="293" spans="1:43" x14ac:dyDescent="0.25">
      <c r="A293">
        <v>715</v>
      </c>
      <c r="B293" t="s">
        <v>122</v>
      </c>
      <c r="C293">
        <v>-27.784099999999999</v>
      </c>
      <c r="D293">
        <v>153.36500000000001</v>
      </c>
      <c r="G293">
        <v>20</v>
      </c>
      <c r="H293">
        <v>0</v>
      </c>
      <c r="I293">
        <v>0</v>
      </c>
      <c r="J293">
        <v>0</v>
      </c>
      <c r="L293">
        <v>480</v>
      </c>
      <c r="M293">
        <v>0</v>
      </c>
      <c r="Q293">
        <v>0</v>
      </c>
      <c r="R293">
        <v>0</v>
      </c>
      <c r="S293">
        <v>0</v>
      </c>
      <c r="T293">
        <v>0</v>
      </c>
      <c r="V293">
        <v>0</v>
      </c>
      <c r="X293">
        <v>200</v>
      </c>
      <c r="Y293">
        <v>40</v>
      </c>
      <c r="AF293">
        <v>80</v>
      </c>
      <c r="AG293">
        <v>50</v>
      </c>
      <c r="AH293">
        <v>0</v>
      </c>
      <c r="AK293">
        <v>5</v>
      </c>
      <c r="AO293">
        <v>0</v>
      </c>
    </row>
    <row r="294" spans="1:43" x14ac:dyDescent="0.25">
      <c r="A294">
        <v>158</v>
      </c>
      <c r="B294" t="s">
        <v>562</v>
      </c>
      <c r="C294">
        <v>-27.792809999999999</v>
      </c>
      <c r="D294">
        <v>152.78504000000001</v>
      </c>
      <c r="M294">
        <v>0</v>
      </c>
      <c r="AH294">
        <v>0</v>
      </c>
    </row>
    <row r="295" spans="1:43" x14ac:dyDescent="0.25">
      <c r="A295">
        <v>851</v>
      </c>
      <c r="B295" t="s">
        <v>335</v>
      </c>
      <c r="C295">
        <v>-27.800115000000002</v>
      </c>
      <c r="D295">
        <v>153.27342899999999</v>
      </c>
      <c r="Q295">
        <v>300</v>
      </c>
      <c r="R295">
        <v>0</v>
      </c>
      <c r="U295">
        <v>0</v>
      </c>
      <c r="V295">
        <v>0</v>
      </c>
      <c r="AF295">
        <v>0</v>
      </c>
      <c r="AG295">
        <v>350</v>
      </c>
      <c r="AH295">
        <v>64</v>
      </c>
      <c r="AK295">
        <v>1500</v>
      </c>
      <c r="AO295">
        <v>540</v>
      </c>
      <c r="AP295">
        <v>600</v>
      </c>
      <c r="AQ295">
        <v>415</v>
      </c>
    </row>
    <row r="296" spans="1:43" x14ac:dyDescent="0.25">
      <c r="A296">
        <v>464</v>
      </c>
      <c r="B296" t="s">
        <v>336</v>
      </c>
      <c r="C296">
        <v>-27.814703000000002</v>
      </c>
      <c r="D296">
        <v>152.96310800000001</v>
      </c>
      <c r="E296">
        <v>100</v>
      </c>
      <c r="F296">
        <v>0</v>
      </c>
      <c r="G296">
        <v>50</v>
      </c>
      <c r="H296">
        <v>250</v>
      </c>
      <c r="I296">
        <v>0</v>
      </c>
      <c r="Q296">
        <v>0</v>
      </c>
      <c r="AC296">
        <v>0</v>
      </c>
      <c r="AD296">
        <v>0</v>
      </c>
      <c r="AF296">
        <v>0</v>
      </c>
      <c r="AK296">
        <v>0</v>
      </c>
    </row>
    <row r="297" spans="1:43" x14ac:dyDescent="0.25">
      <c r="A297">
        <v>148</v>
      </c>
      <c r="B297" t="s">
        <v>123</v>
      </c>
      <c r="C297">
        <v>-27.854299999999999</v>
      </c>
      <c r="D297">
        <v>152.98070000000001</v>
      </c>
      <c r="E297">
        <v>50</v>
      </c>
      <c r="F297">
        <v>0</v>
      </c>
      <c r="G297">
        <v>0</v>
      </c>
      <c r="H297">
        <v>36</v>
      </c>
      <c r="I297">
        <v>400</v>
      </c>
      <c r="J297">
        <v>0</v>
      </c>
      <c r="K297">
        <v>0</v>
      </c>
      <c r="L297">
        <v>0</v>
      </c>
      <c r="M297">
        <v>500</v>
      </c>
      <c r="Q297">
        <v>0</v>
      </c>
      <c r="S297">
        <v>0</v>
      </c>
      <c r="T297">
        <v>0</v>
      </c>
      <c r="U297">
        <v>1550</v>
      </c>
      <c r="V297">
        <v>0</v>
      </c>
      <c r="Y297">
        <v>0</v>
      </c>
      <c r="AC297">
        <v>625</v>
      </c>
      <c r="AD297">
        <v>0</v>
      </c>
      <c r="AE297">
        <v>1000</v>
      </c>
      <c r="AF297">
        <v>4500</v>
      </c>
      <c r="AG297">
        <v>420</v>
      </c>
      <c r="AH297">
        <v>240</v>
      </c>
      <c r="AK297">
        <v>100</v>
      </c>
      <c r="AO297">
        <v>12000</v>
      </c>
      <c r="AP297">
        <v>800</v>
      </c>
      <c r="AQ297">
        <v>1000</v>
      </c>
    </row>
    <row r="298" spans="1:43" x14ac:dyDescent="0.25">
      <c r="A298">
        <v>593</v>
      </c>
      <c r="B298" t="s">
        <v>337</v>
      </c>
      <c r="C298">
        <v>-27.870743000000001</v>
      </c>
      <c r="D298">
        <v>153.31137799999999</v>
      </c>
      <c r="F298">
        <v>0</v>
      </c>
      <c r="G298">
        <v>400</v>
      </c>
      <c r="H298">
        <v>75</v>
      </c>
      <c r="I298">
        <v>1065</v>
      </c>
      <c r="J298">
        <v>625</v>
      </c>
      <c r="K298">
        <v>0</v>
      </c>
      <c r="L298">
        <v>4900</v>
      </c>
      <c r="M298">
        <v>0</v>
      </c>
      <c r="Q298">
        <v>2130</v>
      </c>
      <c r="R298">
        <v>3900</v>
      </c>
      <c r="S298">
        <v>2480</v>
      </c>
      <c r="T298">
        <v>2400</v>
      </c>
      <c r="U298">
        <v>0</v>
      </c>
      <c r="V298">
        <v>0</v>
      </c>
      <c r="Y298">
        <v>0</v>
      </c>
      <c r="AF298">
        <v>0</v>
      </c>
      <c r="AG298">
        <v>1</v>
      </c>
      <c r="AH298">
        <v>50</v>
      </c>
      <c r="AK298">
        <v>1000</v>
      </c>
      <c r="AO298">
        <v>50</v>
      </c>
      <c r="AP298">
        <v>240</v>
      </c>
      <c r="AQ298">
        <v>2149</v>
      </c>
    </row>
    <row r="299" spans="1:43" x14ac:dyDescent="0.25">
      <c r="A299">
        <v>310</v>
      </c>
      <c r="B299" t="s">
        <v>338</v>
      </c>
      <c r="C299">
        <v>-27.874637</v>
      </c>
      <c r="D299">
        <v>153.01254599999999</v>
      </c>
      <c r="E299">
        <v>450</v>
      </c>
      <c r="F299">
        <v>100</v>
      </c>
      <c r="G299">
        <v>1100</v>
      </c>
      <c r="H299">
        <v>960</v>
      </c>
      <c r="I299">
        <v>480</v>
      </c>
      <c r="J299">
        <v>0</v>
      </c>
      <c r="K299">
        <v>5100</v>
      </c>
      <c r="L299">
        <v>5500</v>
      </c>
      <c r="M299">
        <v>0</v>
      </c>
      <c r="Q299">
        <v>0</v>
      </c>
      <c r="S299">
        <v>0</v>
      </c>
      <c r="T299">
        <v>6300</v>
      </c>
      <c r="V299">
        <v>0</v>
      </c>
      <c r="Y299">
        <v>0</v>
      </c>
      <c r="AC299">
        <v>0</v>
      </c>
      <c r="AD299">
        <v>0</v>
      </c>
      <c r="AE299">
        <v>0</v>
      </c>
      <c r="AF299">
        <v>0</v>
      </c>
      <c r="AK299">
        <v>0</v>
      </c>
      <c r="AO299">
        <v>0</v>
      </c>
      <c r="AQ299">
        <v>0</v>
      </c>
    </row>
    <row r="300" spans="1:43" x14ac:dyDescent="0.25">
      <c r="A300">
        <v>543</v>
      </c>
      <c r="B300" t="s">
        <v>563</v>
      </c>
      <c r="C300">
        <v>-27.888300000000001</v>
      </c>
      <c r="D300">
        <v>153.38120000000001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L300">
        <v>0</v>
      </c>
      <c r="Q300">
        <v>0</v>
      </c>
      <c r="R300">
        <v>0</v>
      </c>
      <c r="T300">
        <v>0</v>
      </c>
      <c r="U300">
        <v>0</v>
      </c>
      <c r="V300">
        <v>0</v>
      </c>
      <c r="AC300">
        <v>0</v>
      </c>
      <c r="AE300">
        <v>0</v>
      </c>
    </row>
    <row r="301" spans="1:43" x14ac:dyDescent="0.25">
      <c r="A301">
        <v>900</v>
      </c>
      <c r="B301" t="s">
        <v>124</v>
      </c>
      <c r="C301">
        <v>-27.893699999999999</v>
      </c>
      <c r="D301">
        <v>153.38419999999999</v>
      </c>
      <c r="V301">
        <v>0</v>
      </c>
      <c r="AC301">
        <v>7</v>
      </c>
      <c r="AE301">
        <v>1000</v>
      </c>
      <c r="AF301">
        <v>150</v>
      </c>
      <c r="AG301">
        <v>5</v>
      </c>
      <c r="AH301">
        <v>216</v>
      </c>
      <c r="AK301">
        <v>1500</v>
      </c>
      <c r="AO301">
        <v>22</v>
      </c>
      <c r="AP301">
        <v>80</v>
      </c>
      <c r="AQ301">
        <v>6200</v>
      </c>
    </row>
    <row r="302" spans="1:43" x14ac:dyDescent="0.25">
      <c r="A302">
        <v>714</v>
      </c>
      <c r="B302" t="s">
        <v>339</v>
      </c>
      <c r="C302">
        <v>-27.894777999999999</v>
      </c>
      <c r="D302">
        <v>153.318344</v>
      </c>
      <c r="G302">
        <v>2800</v>
      </c>
      <c r="H302">
        <v>1750</v>
      </c>
      <c r="I302">
        <v>1400</v>
      </c>
      <c r="J302">
        <v>100</v>
      </c>
      <c r="K302">
        <v>2000</v>
      </c>
      <c r="L302">
        <v>0</v>
      </c>
      <c r="M302">
        <v>75</v>
      </c>
      <c r="Q302">
        <v>0</v>
      </c>
      <c r="R302">
        <v>0</v>
      </c>
      <c r="T302">
        <v>0</v>
      </c>
      <c r="U302">
        <v>0</v>
      </c>
      <c r="V302">
        <v>920</v>
      </c>
      <c r="AC302">
        <v>14</v>
      </c>
      <c r="AF302">
        <v>0</v>
      </c>
      <c r="AG302">
        <v>0</v>
      </c>
      <c r="AH302">
        <v>0</v>
      </c>
      <c r="AK302">
        <v>0</v>
      </c>
    </row>
    <row r="303" spans="1:43" x14ac:dyDescent="0.25">
      <c r="A303">
        <v>170</v>
      </c>
      <c r="B303" t="s">
        <v>125</v>
      </c>
      <c r="C303">
        <v>-27.900781680000001</v>
      </c>
      <c r="D303">
        <v>153.3348694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M303">
        <v>0</v>
      </c>
      <c r="Q303">
        <v>0</v>
      </c>
      <c r="R303">
        <v>0</v>
      </c>
      <c r="T303">
        <v>0</v>
      </c>
      <c r="U303">
        <v>0</v>
      </c>
      <c r="Y303">
        <v>55</v>
      </c>
      <c r="AF303">
        <v>0</v>
      </c>
      <c r="AG303">
        <v>0</v>
      </c>
      <c r="AH303">
        <v>0</v>
      </c>
    </row>
    <row r="304" spans="1:43" x14ac:dyDescent="0.25">
      <c r="A304">
        <v>592</v>
      </c>
      <c r="B304" t="s">
        <v>126</v>
      </c>
      <c r="C304">
        <v>-27.9222</v>
      </c>
      <c r="D304">
        <v>153.398</v>
      </c>
      <c r="F304">
        <v>0</v>
      </c>
      <c r="G304">
        <v>0</v>
      </c>
      <c r="H304">
        <v>90</v>
      </c>
      <c r="I304">
        <v>0</v>
      </c>
      <c r="J304">
        <v>0</v>
      </c>
      <c r="K304">
        <v>0</v>
      </c>
      <c r="L304">
        <v>60</v>
      </c>
      <c r="M304">
        <v>0</v>
      </c>
      <c r="Q304">
        <v>0</v>
      </c>
      <c r="R304">
        <v>0</v>
      </c>
      <c r="V304">
        <v>0</v>
      </c>
      <c r="AC304">
        <v>0</v>
      </c>
      <c r="AE304">
        <v>100</v>
      </c>
      <c r="AF304">
        <v>320</v>
      </c>
      <c r="AG304">
        <v>0</v>
      </c>
      <c r="AH304">
        <v>0</v>
      </c>
      <c r="AO304">
        <v>61</v>
      </c>
      <c r="AP304">
        <v>10</v>
      </c>
      <c r="AQ304">
        <v>350</v>
      </c>
    </row>
    <row r="305" spans="1:44" x14ac:dyDescent="0.25">
      <c r="A305">
        <v>455</v>
      </c>
      <c r="B305" t="s">
        <v>127</v>
      </c>
      <c r="C305">
        <v>-27.9237</v>
      </c>
      <c r="D305">
        <v>153.1935</v>
      </c>
      <c r="E305">
        <v>500</v>
      </c>
      <c r="G305">
        <v>0</v>
      </c>
      <c r="H305">
        <v>0</v>
      </c>
      <c r="Q305">
        <v>13875</v>
      </c>
      <c r="R305">
        <v>800</v>
      </c>
      <c r="T305">
        <v>0</v>
      </c>
      <c r="U305">
        <v>3500</v>
      </c>
      <c r="V305">
        <v>3700</v>
      </c>
      <c r="X305">
        <v>2400</v>
      </c>
      <c r="Y305">
        <v>1300</v>
      </c>
      <c r="Z305">
        <v>2088</v>
      </c>
      <c r="AA305">
        <v>3080</v>
      </c>
      <c r="AB305">
        <v>0</v>
      </c>
      <c r="AC305">
        <v>3300</v>
      </c>
      <c r="AD305">
        <v>2550</v>
      </c>
      <c r="AF305">
        <v>220</v>
      </c>
      <c r="AK305">
        <v>3000</v>
      </c>
      <c r="AO305">
        <v>0</v>
      </c>
      <c r="AP305">
        <v>800</v>
      </c>
    </row>
    <row r="306" spans="1:44" x14ac:dyDescent="0.25">
      <c r="A306">
        <v>1018</v>
      </c>
      <c r="B306" t="s">
        <v>564</v>
      </c>
      <c r="C306">
        <v>-27.942312999999999</v>
      </c>
      <c r="D306">
        <v>153.397876</v>
      </c>
      <c r="AF306">
        <v>0</v>
      </c>
      <c r="AG306">
        <v>1</v>
      </c>
      <c r="AH306">
        <v>0</v>
      </c>
      <c r="AP306">
        <v>0</v>
      </c>
    </row>
    <row r="307" spans="1:44" x14ac:dyDescent="0.25">
      <c r="A307">
        <v>273</v>
      </c>
      <c r="B307" t="s">
        <v>565</v>
      </c>
      <c r="C307">
        <v>-27.947876999999998</v>
      </c>
      <c r="D307">
        <v>153.380878</v>
      </c>
      <c r="E307">
        <v>0</v>
      </c>
      <c r="F307">
        <v>0</v>
      </c>
      <c r="G307">
        <v>0</v>
      </c>
      <c r="O307">
        <v>0</v>
      </c>
    </row>
    <row r="308" spans="1:44" x14ac:dyDescent="0.25">
      <c r="A308">
        <v>544</v>
      </c>
      <c r="B308" t="s">
        <v>340</v>
      </c>
      <c r="C308">
        <v>-27.948080000000001</v>
      </c>
      <c r="D308">
        <v>153.39726099999999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L308">
        <v>0</v>
      </c>
      <c r="M308">
        <v>0</v>
      </c>
      <c r="Q308">
        <v>0</v>
      </c>
      <c r="R308">
        <v>0</v>
      </c>
      <c r="T308">
        <v>0</v>
      </c>
      <c r="V308">
        <v>0</v>
      </c>
      <c r="AC308">
        <v>0</v>
      </c>
      <c r="AF308">
        <v>0</v>
      </c>
    </row>
    <row r="309" spans="1:44" x14ac:dyDescent="0.25">
      <c r="A309">
        <v>445</v>
      </c>
      <c r="B309" t="s">
        <v>341</v>
      </c>
      <c r="C309">
        <v>-27.958100000000002</v>
      </c>
      <c r="D309">
        <v>153.4033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50</v>
      </c>
      <c r="L309">
        <v>0</v>
      </c>
      <c r="M309">
        <v>0</v>
      </c>
      <c r="N309">
        <v>0</v>
      </c>
      <c r="O309">
        <v>0</v>
      </c>
      <c r="Q309">
        <v>0</v>
      </c>
      <c r="R309">
        <v>0</v>
      </c>
      <c r="S309">
        <v>0</v>
      </c>
      <c r="V309">
        <v>0</v>
      </c>
      <c r="AC309">
        <v>5</v>
      </c>
      <c r="AE309">
        <v>0</v>
      </c>
      <c r="AF309">
        <v>0</v>
      </c>
      <c r="AG309">
        <v>0</v>
      </c>
    </row>
    <row r="310" spans="1:44" x14ac:dyDescent="0.25">
      <c r="A310">
        <v>137</v>
      </c>
      <c r="B310" t="s">
        <v>342</v>
      </c>
      <c r="C310">
        <v>-27.979700000000001</v>
      </c>
      <c r="D310">
        <v>153.4136</v>
      </c>
      <c r="E310">
        <v>20</v>
      </c>
      <c r="F310">
        <v>0</v>
      </c>
      <c r="G310">
        <v>20</v>
      </c>
      <c r="H310">
        <v>1040</v>
      </c>
      <c r="I310">
        <v>500</v>
      </c>
      <c r="J310">
        <v>0</v>
      </c>
      <c r="K310">
        <v>100</v>
      </c>
      <c r="L310">
        <v>390</v>
      </c>
      <c r="M310">
        <v>0</v>
      </c>
      <c r="O310">
        <v>0</v>
      </c>
      <c r="Q310">
        <v>0</v>
      </c>
      <c r="R310">
        <v>0</v>
      </c>
      <c r="U310">
        <v>0</v>
      </c>
      <c r="V310">
        <v>0</v>
      </c>
      <c r="AC310">
        <v>0</v>
      </c>
      <c r="AE310">
        <v>0</v>
      </c>
      <c r="AH310">
        <v>0</v>
      </c>
    </row>
    <row r="311" spans="1:44" x14ac:dyDescent="0.25">
      <c r="A311">
        <v>453</v>
      </c>
      <c r="B311" t="s">
        <v>343</v>
      </c>
      <c r="C311">
        <v>-27.984242999999999</v>
      </c>
      <c r="D311">
        <v>153.42720800000001</v>
      </c>
      <c r="E311">
        <v>0</v>
      </c>
      <c r="F311">
        <v>0</v>
      </c>
      <c r="G311">
        <v>0</v>
      </c>
      <c r="H311">
        <v>0</v>
      </c>
      <c r="I311">
        <v>0</v>
      </c>
      <c r="L311">
        <v>0</v>
      </c>
      <c r="M311">
        <v>0</v>
      </c>
      <c r="O311">
        <v>0</v>
      </c>
      <c r="Q311">
        <v>0</v>
      </c>
      <c r="R311">
        <v>0</v>
      </c>
      <c r="T311">
        <v>0</v>
      </c>
      <c r="V311">
        <v>0</v>
      </c>
      <c r="AF311">
        <v>0</v>
      </c>
      <c r="AG311">
        <v>0</v>
      </c>
      <c r="AH311">
        <v>0</v>
      </c>
    </row>
    <row r="312" spans="1:44" x14ac:dyDescent="0.25">
      <c r="A312">
        <v>1015</v>
      </c>
      <c r="B312" t="s">
        <v>566</v>
      </c>
      <c r="C312">
        <v>-27.984249999999999</v>
      </c>
      <c r="D312">
        <v>153.40239700000001</v>
      </c>
      <c r="AF312">
        <v>200</v>
      </c>
      <c r="AG312">
        <v>0</v>
      </c>
    </row>
    <row r="313" spans="1:44" x14ac:dyDescent="0.25">
      <c r="A313">
        <v>405</v>
      </c>
      <c r="B313" t="s">
        <v>567</v>
      </c>
      <c r="C313">
        <v>-27.988524999999999</v>
      </c>
      <c r="D313">
        <v>153.32264000000001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44" x14ac:dyDescent="0.25">
      <c r="A314">
        <v>289</v>
      </c>
      <c r="B314" t="s">
        <v>344</v>
      </c>
      <c r="C314">
        <v>-27.991910000000001</v>
      </c>
      <c r="D314">
        <v>152.679877</v>
      </c>
      <c r="E314">
        <v>3000</v>
      </c>
      <c r="F314">
        <v>7560</v>
      </c>
      <c r="G314">
        <v>6000</v>
      </c>
      <c r="I314">
        <v>6862</v>
      </c>
      <c r="J314">
        <v>3500</v>
      </c>
      <c r="K314">
        <v>8750</v>
      </c>
      <c r="M314">
        <v>0</v>
      </c>
      <c r="Y314">
        <v>0</v>
      </c>
      <c r="AA314">
        <v>0</v>
      </c>
      <c r="AO314">
        <v>0</v>
      </c>
    </row>
    <row r="315" spans="1:44" x14ac:dyDescent="0.25">
      <c r="A315">
        <v>545</v>
      </c>
      <c r="B315" t="s">
        <v>345</v>
      </c>
      <c r="C315">
        <v>-27.995100000000001</v>
      </c>
      <c r="D315">
        <v>153.4134</v>
      </c>
      <c r="E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Q315">
        <v>0</v>
      </c>
      <c r="R315">
        <v>0</v>
      </c>
      <c r="V315">
        <v>0</v>
      </c>
      <c r="AC315">
        <v>0</v>
      </c>
    </row>
    <row r="316" spans="1:44" x14ac:dyDescent="0.25">
      <c r="A316">
        <v>787</v>
      </c>
      <c r="B316" t="s">
        <v>568</v>
      </c>
      <c r="C316">
        <v>-27.995899999999999</v>
      </c>
      <c r="D316">
        <v>152.9982</v>
      </c>
      <c r="K316">
        <v>0</v>
      </c>
      <c r="M316">
        <v>0</v>
      </c>
      <c r="AO316">
        <v>500</v>
      </c>
      <c r="AR316">
        <v>0</v>
      </c>
    </row>
    <row r="317" spans="1:44" x14ac:dyDescent="0.25">
      <c r="A317">
        <v>294</v>
      </c>
      <c r="B317" t="s">
        <v>569</v>
      </c>
      <c r="C317">
        <v>-27.999972</v>
      </c>
      <c r="D317">
        <v>153.401971</v>
      </c>
      <c r="E317">
        <v>0</v>
      </c>
      <c r="F317">
        <v>0</v>
      </c>
      <c r="G317">
        <v>0</v>
      </c>
      <c r="I317">
        <v>0</v>
      </c>
      <c r="J317">
        <v>0</v>
      </c>
    </row>
    <row r="318" spans="1:44" x14ac:dyDescent="0.25">
      <c r="A318">
        <v>288</v>
      </c>
      <c r="B318" t="s">
        <v>570</v>
      </c>
      <c r="C318">
        <v>-28.000900000000001</v>
      </c>
      <c r="D318">
        <v>152.60849999999999</v>
      </c>
      <c r="E318">
        <v>0</v>
      </c>
      <c r="F318">
        <v>0</v>
      </c>
      <c r="AO318">
        <v>0</v>
      </c>
    </row>
    <row r="319" spans="1:44" x14ac:dyDescent="0.25">
      <c r="A319">
        <v>406</v>
      </c>
      <c r="B319" t="s">
        <v>128</v>
      </c>
      <c r="C319">
        <v>-28.002991000000002</v>
      </c>
      <c r="D319">
        <v>153.324217</v>
      </c>
      <c r="E319">
        <v>600</v>
      </c>
      <c r="F319">
        <v>450</v>
      </c>
      <c r="G319">
        <v>75</v>
      </c>
      <c r="H319">
        <v>259</v>
      </c>
      <c r="I319">
        <v>840</v>
      </c>
      <c r="J319">
        <v>480</v>
      </c>
      <c r="K319">
        <v>1200</v>
      </c>
      <c r="L319">
        <v>400</v>
      </c>
      <c r="M319">
        <v>300</v>
      </c>
      <c r="O319">
        <v>0</v>
      </c>
      <c r="Q319">
        <v>200</v>
      </c>
      <c r="R319">
        <v>450</v>
      </c>
      <c r="S319">
        <v>0</v>
      </c>
      <c r="T319">
        <v>0</v>
      </c>
      <c r="U319">
        <v>2000</v>
      </c>
      <c r="V319">
        <v>50</v>
      </c>
      <c r="X319">
        <v>620</v>
      </c>
      <c r="Y319">
        <v>2945</v>
      </c>
      <c r="Z319">
        <v>5246</v>
      </c>
      <c r="AF319">
        <v>500</v>
      </c>
      <c r="AG319">
        <v>8000</v>
      </c>
      <c r="AH319">
        <v>550</v>
      </c>
      <c r="AO319">
        <v>575</v>
      </c>
      <c r="AP319">
        <v>820</v>
      </c>
      <c r="AQ319">
        <v>0</v>
      </c>
    </row>
    <row r="320" spans="1:44" x14ac:dyDescent="0.25">
      <c r="A320">
        <v>407</v>
      </c>
      <c r="B320" t="s">
        <v>571</v>
      </c>
      <c r="C320">
        <v>-28.003893000000001</v>
      </c>
      <c r="D320">
        <v>153.31571099999999</v>
      </c>
      <c r="F320">
        <v>0</v>
      </c>
      <c r="G320">
        <v>0</v>
      </c>
      <c r="H320">
        <v>0</v>
      </c>
      <c r="O320">
        <v>0</v>
      </c>
      <c r="V320">
        <v>0</v>
      </c>
    </row>
    <row r="321" spans="1:43" x14ac:dyDescent="0.25">
      <c r="A321">
        <v>590</v>
      </c>
      <c r="B321" t="s">
        <v>572</v>
      </c>
      <c r="C321">
        <v>-28.007940999999999</v>
      </c>
      <c r="D321">
        <v>153.427063</v>
      </c>
      <c r="F321">
        <v>0</v>
      </c>
      <c r="G321">
        <v>0</v>
      </c>
      <c r="H321">
        <v>0</v>
      </c>
      <c r="I321">
        <v>0</v>
      </c>
      <c r="J321">
        <v>0</v>
      </c>
      <c r="L321">
        <v>0</v>
      </c>
      <c r="Q321">
        <v>0</v>
      </c>
      <c r="R321">
        <v>0</v>
      </c>
      <c r="T321">
        <v>0</v>
      </c>
      <c r="U321">
        <v>0</v>
      </c>
      <c r="V321">
        <v>0</v>
      </c>
      <c r="AF321">
        <v>0</v>
      </c>
      <c r="AG321">
        <v>0</v>
      </c>
      <c r="AH321">
        <v>0</v>
      </c>
    </row>
    <row r="322" spans="1:43" x14ac:dyDescent="0.25">
      <c r="A322">
        <v>541</v>
      </c>
      <c r="B322" t="s">
        <v>346</v>
      </c>
      <c r="C322">
        <v>-28.009264000000002</v>
      </c>
      <c r="D322">
        <v>153.41929300000001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L322">
        <v>0</v>
      </c>
      <c r="Q322">
        <v>0</v>
      </c>
      <c r="R322">
        <v>0</v>
      </c>
      <c r="T322">
        <v>0</v>
      </c>
      <c r="U322">
        <v>0</v>
      </c>
      <c r="V322">
        <v>0</v>
      </c>
      <c r="AF322">
        <v>0</v>
      </c>
      <c r="AG322">
        <v>0</v>
      </c>
      <c r="AH322">
        <v>0</v>
      </c>
    </row>
    <row r="323" spans="1:43" x14ac:dyDescent="0.25">
      <c r="A323">
        <v>803</v>
      </c>
      <c r="B323" t="s">
        <v>129</v>
      </c>
      <c r="C323">
        <v>-28.016300000000001</v>
      </c>
      <c r="D323">
        <v>153.15979999999999</v>
      </c>
      <c r="M323">
        <v>40</v>
      </c>
      <c r="Q323">
        <v>300</v>
      </c>
      <c r="R323">
        <v>150</v>
      </c>
      <c r="S323">
        <v>650</v>
      </c>
      <c r="U323">
        <v>550</v>
      </c>
      <c r="V323">
        <v>300</v>
      </c>
      <c r="X323">
        <v>0</v>
      </c>
      <c r="Z323">
        <v>1859</v>
      </c>
      <c r="AA323">
        <v>320</v>
      </c>
      <c r="AC323">
        <v>2400</v>
      </c>
      <c r="AD323">
        <v>2000</v>
      </c>
      <c r="AE323">
        <v>100</v>
      </c>
      <c r="AF323">
        <v>1600</v>
      </c>
      <c r="AG323">
        <v>3620</v>
      </c>
      <c r="AH323">
        <v>1000</v>
      </c>
      <c r="AK323">
        <v>6010</v>
      </c>
      <c r="AO323">
        <v>800</v>
      </c>
      <c r="AP323">
        <v>1300</v>
      </c>
      <c r="AQ323">
        <v>620</v>
      </c>
    </row>
    <row r="324" spans="1:43" x14ac:dyDescent="0.25">
      <c r="A324">
        <v>306</v>
      </c>
      <c r="B324" t="s">
        <v>130</v>
      </c>
      <c r="C324">
        <v>-28.017876000000001</v>
      </c>
      <c r="D324">
        <v>153.36239</v>
      </c>
      <c r="E324">
        <v>950</v>
      </c>
      <c r="F324">
        <v>140</v>
      </c>
      <c r="G324">
        <v>400</v>
      </c>
      <c r="H324">
        <v>1445</v>
      </c>
      <c r="I324">
        <v>800</v>
      </c>
      <c r="J324">
        <v>85</v>
      </c>
      <c r="K324">
        <v>1000</v>
      </c>
      <c r="L324">
        <v>3325</v>
      </c>
      <c r="M324">
        <v>1953</v>
      </c>
      <c r="O324">
        <v>15680</v>
      </c>
      <c r="P324">
        <v>15550</v>
      </c>
      <c r="Q324">
        <v>10370</v>
      </c>
      <c r="R324">
        <v>1820</v>
      </c>
      <c r="S324">
        <v>3220</v>
      </c>
      <c r="T324">
        <v>4230</v>
      </c>
      <c r="U324">
        <v>2480</v>
      </c>
      <c r="V324">
        <v>350</v>
      </c>
      <c r="Y324">
        <v>653</v>
      </c>
      <c r="Z324">
        <v>636</v>
      </c>
      <c r="AC324">
        <v>8</v>
      </c>
      <c r="AF324">
        <v>2</v>
      </c>
      <c r="AG324">
        <v>115</v>
      </c>
      <c r="AH324">
        <v>0</v>
      </c>
      <c r="AO324">
        <v>0</v>
      </c>
      <c r="AP324">
        <v>0</v>
      </c>
      <c r="AQ324">
        <v>0</v>
      </c>
    </row>
    <row r="325" spans="1:43" x14ac:dyDescent="0.25">
      <c r="A325">
        <v>147</v>
      </c>
      <c r="B325" t="s">
        <v>347</v>
      </c>
      <c r="C325">
        <v>-28.01885365</v>
      </c>
      <c r="D325">
        <v>153.42746539999999</v>
      </c>
      <c r="E325">
        <v>0</v>
      </c>
      <c r="F325">
        <v>0</v>
      </c>
      <c r="G325">
        <v>20</v>
      </c>
      <c r="H325">
        <v>0</v>
      </c>
      <c r="I325">
        <v>0</v>
      </c>
      <c r="J325">
        <v>60</v>
      </c>
      <c r="L325">
        <v>140</v>
      </c>
      <c r="M325">
        <v>0</v>
      </c>
      <c r="O325">
        <v>0</v>
      </c>
      <c r="P325">
        <v>0</v>
      </c>
      <c r="Q325">
        <v>0</v>
      </c>
      <c r="R325">
        <v>0</v>
      </c>
      <c r="T325">
        <v>0</v>
      </c>
      <c r="U325">
        <v>0</v>
      </c>
      <c r="V325">
        <v>0</v>
      </c>
      <c r="AC325">
        <v>0</v>
      </c>
      <c r="AF325">
        <v>1</v>
      </c>
      <c r="AG325">
        <v>88</v>
      </c>
      <c r="AH325">
        <v>2</v>
      </c>
      <c r="AO325">
        <v>0</v>
      </c>
      <c r="AP325">
        <v>2</v>
      </c>
      <c r="AQ325">
        <v>0</v>
      </c>
    </row>
    <row r="326" spans="1:43" x14ac:dyDescent="0.25">
      <c r="A326">
        <v>770</v>
      </c>
      <c r="B326" t="s">
        <v>348</v>
      </c>
      <c r="C326">
        <v>-28.025528999999999</v>
      </c>
      <c r="D326">
        <v>148.589506</v>
      </c>
      <c r="J326">
        <v>0</v>
      </c>
      <c r="U326">
        <v>0</v>
      </c>
      <c r="AD326">
        <v>0</v>
      </c>
      <c r="AF326">
        <v>0</v>
      </c>
      <c r="AK326">
        <v>0</v>
      </c>
    </row>
    <row r="327" spans="1:43" x14ac:dyDescent="0.25">
      <c r="A327">
        <v>271</v>
      </c>
      <c r="B327" t="s">
        <v>349</v>
      </c>
      <c r="C327">
        <v>-28.028017999999999</v>
      </c>
      <c r="D327">
        <v>151.983746</v>
      </c>
      <c r="E327">
        <v>0</v>
      </c>
      <c r="F327">
        <v>0</v>
      </c>
      <c r="J327">
        <v>0</v>
      </c>
      <c r="M327">
        <v>0</v>
      </c>
      <c r="O327">
        <v>0</v>
      </c>
      <c r="Q327">
        <v>0</v>
      </c>
      <c r="R327">
        <v>0</v>
      </c>
      <c r="S327">
        <v>0</v>
      </c>
      <c r="T327">
        <v>0</v>
      </c>
      <c r="U327">
        <v>150</v>
      </c>
      <c r="Z327">
        <v>0</v>
      </c>
      <c r="AA327">
        <v>0</v>
      </c>
      <c r="AB327">
        <v>0</v>
      </c>
      <c r="AC327">
        <v>1500</v>
      </c>
      <c r="AD327">
        <v>0</v>
      </c>
      <c r="AE327">
        <v>0</v>
      </c>
      <c r="AF327">
        <v>0</v>
      </c>
      <c r="AG327">
        <v>0</v>
      </c>
      <c r="AH327">
        <v>0</v>
      </c>
      <c r="AK327">
        <v>400</v>
      </c>
      <c r="AO327">
        <v>0</v>
      </c>
      <c r="AP327">
        <v>0</v>
      </c>
      <c r="AQ327">
        <v>0</v>
      </c>
    </row>
    <row r="328" spans="1:43" x14ac:dyDescent="0.25">
      <c r="A328">
        <v>779</v>
      </c>
      <c r="B328" t="s">
        <v>350</v>
      </c>
      <c r="C328">
        <v>-28.030678000000002</v>
      </c>
      <c r="D328">
        <v>153.428033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AC328">
        <v>0</v>
      </c>
    </row>
    <row r="329" spans="1:43" x14ac:dyDescent="0.25">
      <c r="A329">
        <v>307</v>
      </c>
      <c r="B329" t="s">
        <v>351</v>
      </c>
      <c r="C329">
        <v>-28.033149999999999</v>
      </c>
      <c r="D329">
        <v>153.39155099999999</v>
      </c>
      <c r="E329">
        <v>0</v>
      </c>
      <c r="F329">
        <v>200</v>
      </c>
      <c r="G329">
        <v>0</v>
      </c>
      <c r="H329">
        <v>0</v>
      </c>
      <c r="I329">
        <v>0</v>
      </c>
      <c r="J329">
        <v>0</v>
      </c>
      <c r="K329">
        <v>30</v>
      </c>
      <c r="L329">
        <v>0</v>
      </c>
      <c r="M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AE329">
        <v>0</v>
      </c>
      <c r="AF329">
        <v>4</v>
      </c>
      <c r="AG329">
        <v>50</v>
      </c>
      <c r="AH329">
        <v>0</v>
      </c>
      <c r="AP329">
        <v>0</v>
      </c>
      <c r="AQ329">
        <v>0</v>
      </c>
    </row>
    <row r="330" spans="1:43" x14ac:dyDescent="0.25">
      <c r="A330">
        <v>141</v>
      </c>
      <c r="B330" t="s">
        <v>19</v>
      </c>
      <c r="C330">
        <v>-28.03950257</v>
      </c>
      <c r="D330">
        <v>153.18245949999999</v>
      </c>
      <c r="E330">
        <v>3000</v>
      </c>
      <c r="F330">
        <v>8000</v>
      </c>
      <c r="H330">
        <v>1600</v>
      </c>
      <c r="I330">
        <v>7200</v>
      </c>
      <c r="J330">
        <v>21319</v>
      </c>
      <c r="K330">
        <v>4550</v>
      </c>
      <c r="L330">
        <v>2520</v>
      </c>
      <c r="M330">
        <v>3600</v>
      </c>
      <c r="N330">
        <v>11475</v>
      </c>
      <c r="O330">
        <v>0</v>
      </c>
      <c r="Q330">
        <v>6000</v>
      </c>
      <c r="R330">
        <v>7000</v>
      </c>
      <c r="S330">
        <v>1700</v>
      </c>
      <c r="T330">
        <v>0</v>
      </c>
      <c r="U330">
        <v>7200</v>
      </c>
      <c r="V330">
        <v>5600</v>
      </c>
      <c r="W330">
        <v>1154</v>
      </c>
      <c r="X330">
        <v>4100</v>
      </c>
      <c r="Y330">
        <v>20079</v>
      </c>
      <c r="Z330">
        <v>4419</v>
      </c>
      <c r="AA330">
        <v>4903</v>
      </c>
      <c r="AB330">
        <v>0</v>
      </c>
      <c r="AC330">
        <v>3450</v>
      </c>
      <c r="AD330">
        <v>15000</v>
      </c>
      <c r="AE330">
        <v>0</v>
      </c>
      <c r="AF330">
        <v>0</v>
      </c>
      <c r="AG330">
        <v>350</v>
      </c>
      <c r="AH330">
        <v>800</v>
      </c>
      <c r="AK330">
        <v>32421</v>
      </c>
      <c r="AO330">
        <v>350</v>
      </c>
      <c r="AP330">
        <v>300</v>
      </c>
      <c r="AQ330">
        <v>0</v>
      </c>
    </row>
    <row r="331" spans="1:43" x14ac:dyDescent="0.25">
      <c r="A331">
        <v>808</v>
      </c>
      <c r="B331" t="s">
        <v>131</v>
      </c>
      <c r="C331">
        <v>-28.060371</v>
      </c>
      <c r="D331">
        <v>153.43936099999999</v>
      </c>
      <c r="L331">
        <v>0</v>
      </c>
      <c r="M331">
        <v>5</v>
      </c>
      <c r="N331">
        <v>0</v>
      </c>
      <c r="Q331">
        <v>0</v>
      </c>
      <c r="R331">
        <v>0</v>
      </c>
      <c r="S331">
        <v>0</v>
      </c>
      <c r="V331">
        <v>0</v>
      </c>
      <c r="W331">
        <v>0</v>
      </c>
      <c r="X331">
        <v>0</v>
      </c>
      <c r="Y331">
        <v>24</v>
      </c>
      <c r="AC331">
        <v>0</v>
      </c>
      <c r="AF331">
        <v>0</v>
      </c>
      <c r="AG331">
        <v>20</v>
      </c>
      <c r="AH331">
        <v>0</v>
      </c>
      <c r="AO331">
        <v>0</v>
      </c>
      <c r="AP331">
        <v>0</v>
      </c>
    </row>
    <row r="332" spans="1:43" x14ac:dyDescent="0.25">
      <c r="A332">
        <v>477</v>
      </c>
      <c r="B332" t="s">
        <v>573</v>
      </c>
      <c r="C332">
        <v>-28.061900000000001</v>
      </c>
      <c r="D332">
        <v>153.3432</v>
      </c>
      <c r="E332">
        <v>0</v>
      </c>
      <c r="F332">
        <v>0</v>
      </c>
      <c r="H332">
        <v>0</v>
      </c>
      <c r="I332">
        <v>0</v>
      </c>
      <c r="J332">
        <v>0</v>
      </c>
      <c r="L332">
        <v>0</v>
      </c>
      <c r="M332">
        <v>0</v>
      </c>
    </row>
    <row r="333" spans="1:43" x14ac:dyDescent="0.25">
      <c r="A333">
        <v>436</v>
      </c>
      <c r="B333" t="s">
        <v>132</v>
      </c>
      <c r="C333">
        <v>-28.062892000000002</v>
      </c>
      <c r="D333">
        <v>153.411992</v>
      </c>
      <c r="E333">
        <v>0</v>
      </c>
      <c r="F333">
        <v>0</v>
      </c>
      <c r="G333">
        <v>0</v>
      </c>
      <c r="H333">
        <v>0</v>
      </c>
      <c r="I333">
        <v>0</v>
      </c>
      <c r="L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AD333">
        <v>10</v>
      </c>
      <c r="AE333">
        <v>120</v>
      </c>
      <c r="AF333">
        <v>175</v>
      </c>
      <c r="AH333">
        <v>2</v>
      </c>
      <c r="AO333">
        <v>50</v>
      </c>
      <c r="AP333">
        <v>40</v>
      </c>
      <c r="AQ333">
        <v>0</v>
      </c>
    </row>
    <row r="334" spans="1:43" x14ac:dyDescent="0.25">
      <c r="A334">
        <v>546</v>
      </c>
      <c r="B334" t="s">
        <v>352</v>
      </c>
      <c r="C334">
        <v>-28.068058000000001</v>
      </c>
      <c r="D334">
        <v>153.42381399999999</v>
      </c>
      <c r="E334">
        <v>250</v>
      </c>
      <c r="F334">
        <v>0</v>
      </c>
      <c r="G334">
        <v>300</v>
      </c>
      <c r="H334">
        <v>270</v>
      </c>
      <c r="I334">
        <v>200</v>
      </c>
      <c r="J334">
        <v>0</v>
      </c>
      <c r="L334">
        <v>0</v>
      </c>
      <c r="M334">
        <v>0</v>
      </c>
      <c r="N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W334">
        <v>0</v>
      </c>
      <c r="X334">
        <v>0</v>
      </c>
      <c r="AH334">
        <v>0</v>
      </c>
    </row>
    <row r="335" spans="1:43" x14ac:dyDescent="0.25">
      <c r="A335">
        <v>591</v>
      </c>
      <c r="B335" t="s">
        <v>353</v>
      </c>
      <c r="C335">
        <v>-28.069959999999998</v>
      </c>
      <c r="D335">
        <v>153.3545</v>
      </c>
      <c r="F335">
        <v>120</v>
      </c>
      <c r="G335">
        <v>300</v>
      </c>
      <c r="H335">
        <v>0</v>
      </c>
      <c r="I335">
        <v>540</v>
      </c>
      <c r="J335">
        <v>50</v>
      </c>
      <c r="K335">
        <v>1000</v>
      </c>
      <c r="L335">
        <v>0</v>
      </c>
      <c r="O335">
        <v>0</v>
      </c>
      <c r="Q335">
        <v>100</v>
      </c>
      <c r="R335">
        <v>500</v>
      </c>
      <c r="S335">
        <v>0</v>
      </c>
      <c r="T335">
        <v>0</v>
      </c>
      <c r="U335">
        <v>0</v>
      </c>
      <c r="V335">
        <v>0</v>
      </c>
      <c r="AE335">
        <v>0</v>
      </c>
      <c r="AF335">
        <v>20</v>
      </c>
      <c r="AG335">
        <v>40</v>
      </c>
      <c r="AH335">
        <v>0</v>
      </c>
      <c r="AK335">
        <v>400</v>
      </c>
      <c r="AO335">
        <v>0</v>
      </c>
      <c r="AP335">
        <v>0</v>
      </c>
    </row>
    <row r="336" spans="1:43" x14ac:dyDescent="0.25">
      <c r="A336">
        <v>807</v>
      </c>
      <c r="B336" t="s">
        <v>354</v>
      </c>
      <c r="C336">
        <v>-28.073239000000001</v>
      </c>
      <c r="D336">
        <v>153.40007199999999</v>
      </c>
      <c r="L336">
        <v>675</v>
      </c>
      <c r="M336">
        <v>100</v>
      </c>
      <c r="N336">
        <v>400</v>
      </c>
      <c r="O336">
        <v>38</v>
      </c>
      <c r="Q336">
        <v>0</v>
      </c>
      <c r="R336">
        <v>0</v>
      </c>
      <c r="AA336">
        <v>0</v>
      </c>
      <c r="AC336">
        <v>0</v>
      </c>
      <c r="AG336">
        <v>50</v>
      </c>
    </row>
    <row r="337" spans="1:43" x14ac:dyDescent="0.25">
      <c r="A337">
        <v>763</v>
      </c>
      <c r="B337" t="s">
        <v>355</v>
      </c>
      <c r="C337">
        <v>-28.078831999999998</v>
      </c>
      <c r="D337">
        <v>153.33640600000001</v>
      </c>
      <c r="I337">
        <v>200</v>
      </c>
    </row>
    <row r="338" spans="1:43" x14ac:dyDescent="0.25">
      <c r="A338">
        <v>713</v>
      </c>
      <c r="B338" t="s">
        <v>133</v>
      </c>
      <c r="C338">
        <v>-28.081932999999999</v>
      </c>
      <c r="D338">
        <v>153.43901399999999</v>
      </c>
      <c r="G338">
        <v>0</v>
      </c>
      <c r="H338">
        <v>0</v>
      </c>
      <c r="I338">
        <v>0</v>
      </c>
      <c r="J338">
        <v>0</v>
      </c>
      <c r="L338">
        <v>25</v>
      </c>
      <c r="M338">
        <v>30</v>
      </c>
      <c r="Q338">
        <v>0</v>
      </c>
      <c r="R338">
        <v>0</v>
      </c>
      <c r="S338">
        <v>200</v>
      </c>
      <c r="T338">
        <v>0</v>
      </c>
      <c r="U338">
        <v>0</v>
      </c>
      <c r="V338">
        <v>0</v>
      </c>
      <c r="X338">
        <v>200</v>
      </c>
      <c r="AC338">
        <v>0</v>
      </c>
      <c r="AF338">
        <v>25</v>
      </c>
      <c r="AG338">
        <v>50</v>
      </c>
      <c r="AH338">
        <v>0</v>
      </c>
      <c r="AK338">
        <v>800</v>
      </c>
      <c r="AO338">
        <v>30</v>
      </c>
      <c r="AP338">
        <v>450</v>
      </c>
    </row>
    <row r="339" spans="1:43" x14ac:dyDescent="0.25">
      <c r="A339">
        <v>551</v>
      </c>
      <c r="B339" t="s">
        <v>356</v>
      </c>
      <c r="C339">
        <v>-28.083400000000001</v>
      </c>
      <c r="D339">
        <v>152.834</v>
      </c>
      <c r="E339">
        <v>0</v>
      </c>
      <c r="G339">
        <v>1800</v>
      </c>
      <c r="J339">
        <v>500</v>
      </c>
      <c r="M339">
        <v>0</v>
      </c>
      <c r="AF339">
        <v>0</v>
      </c>
      <c r="AO339">
        <v>100000</v>
      </c>
      <c r="AQ339">
        <v>0</v>
      </c>
    </row>
    <row r="340" spans="1:43" x14ac:dyDescent="0.25">
      <c r="A340">
        <v>1214</v>
      </c>
      <c r="B340" t="s">
        <v>800</v>
      </c>
      <c r="C340">
        <v>-28.084399999999999</v>
      </c>
      <c r="D340">
        <v>153.2004</v>
      </c>
      <c r="AO340">
        <v>180</v>
      </c>
      <c r="AP340">
        <v>0</v>
      </c>
      <c r="AQ340">
        <v>0</v>
      </c>
    </row>
    <row r="341" spans="1:43" x14ac:dyDescent="0.25">
      <c r="A341">
        <v>402</v>
      </c>
      <c r="B341" t="s">
        <v>20</v>
      </c>
      <c r="C341">
        <v>-28.085636999999998</v>
      </c>
      <c r="D341">
        <v>153.345868</v>
      </c>
      <c r="E341">
        <v>2125</v>
      </c>
      <c r="F341">
        <v>650</v>
      </c>
      <c r="G341">
        <v>0</v>
      </c>
      <c r="I341">
        <v>3300</v>
      </c>
      <c r="J341">
        <v>4900</v>
      </c>
      <c r="K341">
        <v>0</v>
      </c>
      <c r="L341">
        <v>0</v>
      </c>
      <c r="M341">
        <v>5000</v>
      </c>
      <c r="O341">
        <v>0</v>
      </c>
      <c r="Q341">
        <v>7200</v>
      </c>
      <c r="R341">
        <v>8400</v>
      </c>
      <c r="S341">
        <v>0</v>
      </c>
      <c r="T341">
        <v>0</v>
      </c>
      <c r="U341">
        <v>5000</v>
      </c>
      <c r="V341">
        <v>4900</v>
      </c>
      <c r="AD341">
        <v>14000</v>
      </c>
      <c r="AE341">
        <v>0</v>
      </c>
      <c r="AF341">
        <v>0</v>
      </c>
      <c r="AG341">
        <v>923</v>
      </c>
      <c r="AH341">
        <v>600</v>
      </c>
      <c r="AK341">
        <v>9000</v>
      </c>
      <c r="AO341">
        <v>0</v>
      </c>
      <c r="AP341">
        <v>0</v>
      </c>
    </row>
    <row r="342" spans="1:43" x14ac:dyDescent="0.25">
      <c r="A342">
        <v>1020</v>
      </c>
      <c r="B342" t="s">
        <v>574</v>
      </c>
      <c r="C342">
        <v>-28.092130999999998</v>
      </c>
      <c r="D342">
        <v>153.43874199999999</v>
      </c>
      <c r="AF342">
        <v>0</v>
      </c>
      <c r="AG342">
        <v>0</v>
      </c>
      <c r="AQ342">
        <v>0</v>
      </c>
    </row>
    <row r="343" spans="1:43" x14ac:dyDescent="0.25">
      <c r="A343">
        <v>296</v>
      </c>
      <c r="B343" t="s">
        <v>801</v>
      </c>
      <c r="C343">
        <v>-28.0946</v>
      </c>
      <c r="D343">
        <v>153.42920000000001</v>
      </c>
      <c r="E343">
        <v>500</v>
      </c>
      <c r="F343">
        <v>0</v>
      </c>
      <c r="G343">
        <v>0</v>
      </c>
      <c r="H343">
        <v>0</v>
      </c>
      <c r="I343">
        <v>0</v>
      </c>
      <c r="J343">
        <v>500</v>
      </c>
      <c r="L343">
        <v>275</v>
      </c>
      <c r="M343">
        <v>0</v>
      </c>
      <c r="Q343">
        <v>100</v>
      </c>
      <c r="R343">
        <v>0</v>
      </c>
      <c r="T343">
        <v>0</v>
      </c>
      <c r="U343">
        <v>40</v>
      </c>
      <c r="V343">
        <v>50</v>
      </c>
      <c r="AG343">
        <v>0</v>
      </c>
      <c r="AH343">
        <v>60</v>
      </c>
      <c r="AK343">
        <v>10</v>
      </c>
      <c r="AO343">
        <v>0</v>
      </c>
      <c r="AQ343">
        <v>0</v>
      </c>
    </row>
    <row r="344" spans="1:43" x14ac:dyDescent="0.25">
      <c r="A344">
        <v>1224</v>
      </c>
      <c r="B344" t="s">
        <v>802</v>
      </c>
      <c r="C344">
        <v>-28.095714000000001</v>
      </c>
      <c r="D344">
        <v>153.40904599999999</v>
      </c>
      <c r="AO344">
        <v>200</v>
      </c>
      <c r="AP344">
        <v>100</v>
      </c>
      <c r="AQ344">
        <v>2957</v>
      </c>
    </row>
    <row r="345" spans="1:43" x14ac:dyDescent="0.25">
      <c r="A345">
        <v>216</v>
      </c>
      <c r="B345" t="s">
        <v>134</v>
      </c>
      <c r="C345">
        <v>-28.10551736</v>
      </c>
      <c r="D345">
        <v>153.36338710000001</v>
      </c>
      <c r="E345">
        <v>120</v>
      </c>
      <c r="G345">
        <v>0</v>
      </c>
      <c r="H345">
        <v>0</v>
      </c>
      <c r="I345">
        <v>0</v>
      </c>
      <c r="J345">
        <v>0</v>
      </c>
      <c r="L345">
        <v>15</v>
      </c>
      <c r="M345">
        <v>0</v>
      </c>
      <c r="Z345">
        <v>7836</v>
      </c>
      <c r="AF345">
        <v>0</v>
      </c>
      <c r="AH345">
        <v>0</v>
      </c>
      <c r="AO345">
        <v>0</v>
      </c>
      <c r="AP345">
        <v>0</v>
      </c>
    </row>
    <row r="346" spans="1:43" x14ac:dyDescent="0.25">
      <c r="A346">
        <v>181</v>
      </c>
      <c r="B346" t="s">
        <v>357</v>
      </c>
      <c r="C346">
        <v>-28.1144</v>
      </c>
      <c r="D346">
        <v>153.44479999999999</v>
      </c>
      <c r="E346">
        <v>0</v>
      </c>
      <c r="F346">
        <v>0</v>
      </c>
      <c r="M346">
        <v>50</v>
      </c>
      <c r="AH346">
        <v>0</v>
      </c>
    </row>
    <row r="347" spans="1:43" x14ac:dyDescent="0.25">
      <c r="A347">
        <v>415</v>
      </c>
      <c r="B347" t="s">
        <v>358</v>
      </c>
      <c r="C347">
        <v>-28.120363000000001</v>
      </c>
      <c r="D347">
        <v>153.46007800000001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20</v>
      </c>
      <c r="L347">
        <v>0</v>
      </c>
      <c r="M347">
        <v>0</v>
      </c>
      <c r="Q347">
        <v>0</v>
      </c>
      <c r="AF347">
        <v>200</v>
      </c>
      <c r="AG347">
        <v>150</v>
      </c>
      <c r="AH347">
        <v>0</v>
      </c>
      <c r="AK347">
        <v>25</v>
      </c>
      <c r="AO347">
        <v>0</v>
      </c>
    </row>
    <row r="348" spans="1:43" x14ac:dyDescent="0.25">
      <c r="A348">
        <v>1199</v>
      </c>
      <c r="B348" t="s">
        <v>803</v>
      </c>
      <c r="C348">
        <v>-28.1374</v>
      </c>
      <c r="D348">
        <v>153.44149999999999</v>
      </c>
      <c r="AK348">
        <v>500</v>
      </c>
      <c r="AQ348">
        <v>0</v>
      </c>
    </row>
    <row r="349" spans="1:43" x14ac:dyDescent="0.25">
      <c r="A349">
        <v>325</v>
      </c>
      <c r="B349" t="s">
        <v>135</v>
      </c>
      <c r="C349">
        <v>-28.145340000000001</v>
      </c>
      <c r="D349">
        <v>153.46720999999999</v>
      </c>
      <c r="E349">
        <v>4000</v>
      </c>
      <c r="F349">
        <v>0</v>
      </c>
      <c r="G349">
        <v>200</v>
      </c>
      <c r="H349">
        <v>1360</v>
      </c>
      <c r="I349">
        <v>4200</v>
      </c>
      <c r="J349">
        <v>5000</v>
      </c>
      <c r="L349">
        <v>1200</v>
      </c>
      <c r="M349">
        <v>2500</v>
      </c>
      <c r="Q349">
        <v>7000</v>
      </c>
      <c r="R349">
        <v>0</v>
      </c>
      <c r="S349">
        <v>3000</v>
      </c>
      <c r="T349">
        <v>7740</v>
      </c>
      <c r="U349">
        <v>3200</v>
      </c>
      <c r="V349">
        <v>3000</v>
      </c>
      <c r="W349">
        <v>7723</v>
      </c>
      <c r="X349">
        <v>500</v>
      </c>
      <c r="Y349">
        <v>4500</v>
      </c>
      <c r="Z349">
        <v>3287</v>
      </c>
      <c r="AD349">
        <v>0</v>
      </c>
      <c r="AF349">
        <v>2250</v>
      </c>
      <c r="AG349">
        <v>600</v>
      </c>
      <c r="AH349">
        <v>1200</v>
      </c>
      <c r="AK349">
        <v>250</v>
      </c>
      <c r="AO349">
        <v>400</v>
      </c>
      <c r="AP349">
        <v>350</v>
      </c>
    </row>
    <row r="350" spans="1:43" x14ac:dyDescent="0.25">
      <c r="A350">
        <v>718</v>
      </c>
      <c r="B350" t="s">
        <v>359</v>
      </c>
      <c r="C350">
        <v>-28.169594</v>
      </c>
      <c r="D350">
        <v>153.19440299999999</v>
      </c>
      <c r="G350">
        <v>95</v>
      </c>
    </row>
    <row r="351" spans="1:43" x14ac:dyDescent="0.25">
      <c r="A351">
        <v>149</v>
      </c>
      <c r="B351" t="s">
        <v>575</v>
      </c>
      <c r="C351">
        <v>-28.185457169999999</v>
      </c>
      <c r="D351">
        <v>153.41818280000001</v>
      </c>
      <c r="AH351">
        <v>0</v>
      </c>
    </row>
    <row r="352" spans="1:43" x14ac:dyDescent="0.25">
      <c r="A352">
        <v>868</v>
      </c>
      <c r="B352" t="s">
        <v>360</v>
      </c>
      <c r="C352">
        <v>-28.188800000000001</v>
      </c>
      <c r="D352">
        <v>153.5343</v>
      </c>
      <c r="S352">
        <v>0</v>
      </c>
      <c r="U352">
        <v>0</v>
      </c>
      <c r="W352">
        <v>252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25</v>
      </c>
      <c r="AG352">
        <v>0</v>
      </c>
    </row>
    <row r="353" spans="1:44" x14ac:dyDescent="0.25">
      <c r="A353">
        <v>116</v>
      </c>
      <c r="B353" t="s">
        <v>576</v>
      </c>
      <c r="C353">
        <v>-28.189760629999999</v>
      </c>
      <c r="D353">
        <v>153.51667939999999</v>
      </c>
      <c r="E353">
        <v>0</v>
      </c>
      <c r="F353">
        <v>0</v>
      </c>
      <c r="G353">
        <v>0</v>
      </c>
      <c r="I353">
        <v>0</v>
      </c>
      <c r="J353">
        <v>0</v>
      </c>
      <c r="L353">
        <v>0</v>
      </c>
    </row>
    <row r="354" spans="1:44" x14ac:dyDescent="0.25">
      <c r="A354">
        <v>117</v>
      </c>
      <c r="B354" t="s">
        <v>577</v>
      </c>
      <c r="C354">
        <v>-28.19657333</v>
      </c>
      <c r="D354">
        <v>153.51261779999999</v>
      </c>
      <c r="E354">
        <v>0</v>
      </c>
      <c r="F354">
        <v>0</v>
      </c>
      <c r="G354">
        <v>0</v>
      </c>
      <c r="I354">
        <v>0</v>
      </c>
      <c r="J354">
        <v>0</v>
      </c>
      <c r="L354">
        <v>0</v>
      </c>
    </row>
    <row r="355" spans="1:44" x14ac:dyDescent="0.25">
      <c r="A355">
        <v>118</v>
      </c>
      <c r="B355" t="s">
        <v>136</v>
      </c>
      <c r="C355">
        <v>-28.207001250000001</v>
      </c>
      <c r="D355">
        <v>153.5104681</v>
      </c>
      <c r="E355">
        <v>0</v>
      </c>
      <c r="F355">
        <v>159</v>
      </c>
      <c r="G355">
        <v>3603</v>
      </c>
      <c r="H355">
        <v>67</v>
      </c>
      <c r="I355">
        <v>463</v>
      </c>
      <c r="J355">
        <v>20</v>
      </c>
      <c r="K355">
        <v>1320</v>
      </c>
      <c r="L355">
        <v>200</v>
      </c>
      <c r="M355">
        <v>60</v>
      </c>
      <c r="O355">
        <v>45</v>
      </c>
      <c r="P355">
        <v>152</v>
      </c>
      <c r="Q355">
        <v>69</v>
      </c>
      <c r="R355">
        <v>15</v>
      </c>
      <c r="S355">
        <v>25</v>
      </c>
      <c r="U355">
        <v>0</v>
      </c>
      <c r="V355">
        <v>8</v>
      </c>
      <c r="W355">
        <v>13</v>
      </c>
      <c r="X355">
        <v>0</v>
      </c>
      <c r="Y355">
        <v>1050</v>
      </c>
      <c r="Z355">
        <v>0</v>
      </c>
      <c r="AA355">
        <v>170</v>
      </c>
      <c r="AB355">
        <v>233</v>
      </c>
      <c r="AC355">
        <v>20</v>
      </c>
      <c r="AD355">
        <v>13</v>
      </c>
      <c r="AF355">
        <v>0</v>
      </c>
      <c r="AG355">
        <v>3</v>
      </c>
      <c r="AK355">
        <v>140</v>
      </c>
      <c r="AO355">
        <v>0</v>
      </c>
      <c r="AP355">
        <v>0</v>
      </c>
    </row>
    <row r="356" spans="1:44" x14ac:dyDescent="0.25">
      <c r="A356">
        <v>470</v>
      </c>
      <c r="B356" t="s">
        <v>578</v>
      </c>
      <c r="C356">
        <v>-28.208062000000002</v>
      </c>
      <c r="D356">
        <v>152.02963299999999</v>
      </c>
      <c r="E356">
        <v>0</v>
      </c>
      <c r="O356">
        <v>0</v>
      </c>
      <c r="AD356">
        <v>0</v>
      </c>
      <c r="AH356">
        <v>0</v>
      </c>
      <c r="AK356">
        <v>250</v>
      </c>
    </row>
    <row r="357" spans="1:44" x14ac:dyDescent="0.25">
      <c r="A357">
        <v>999</v>
      </c>
      <c r="B357" t="s">
        <v>361</v>
      </c>
      <c r="C357">
        <v>-28.211300000000001</v>
      </c>
      <c r="D357">
        <v>153.54390000000001</v>
      </c>
      <c r="AC357">
        <v>0</v>
      </c>
      <c r="AD357">
        <v>0</v>
      </c>
      <c r="AE357">
        <v>0</v>
      </c>
      <c r="AF357">
        <v>100</v>
      </c>
    </row>
    <row r="358" spans="1:44" x14ac:dyDescent="0.25">
      <c r="A358">
        <v>775</v>
      </c>
      <c r="B358" t="s">
        <v>362</v>
      </c>
      <c r="C358">
        <v>-28.211455999999998</v>
      </c>
      <c r="D358">
        <v>152.026038</v>
      </c>
      <c r="J358">
        <v>0</v>
      </c>
      <c r="M358">
        <v>0</v>
      </c>
      <c r="O358">
        <v>0</v>
      </c>
      <c r="Q358">
        <v>0</v>
      </c>
      <c r="S358">
        <v>0</v>
      </c>
      <c r="T358">
        <v>0</v>
      </c>
      <c r="U358">
        <v>400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1000</v>
      </c>
      <c r="AD358">
        <v>0</v>
      </c>
      <c r="AE358">
        <v>0</v>
      </c>
      <c r="AF358">
        <v>0</v>
      </c>
      <c r="AO358">
        <v>0</v>
      </c>
      <c r="AP358">
        <v>0</v>
      </c>
      <c r="AQ358">
        <v>0</v>
      </c>
    </row>
    <row r="359" spans="1:44" x14ac:dyDescent="0.25">
      <c r="A359">
        <v>645</v>
      </c>
      <c r="B359" t="s">
        <v>363</v>
      </c>
      <c r="C359">
        <v>-28.2119</v>
      </c>
      <c r="D359">
        <v>153.54949999999999</v>
      </c>
      <c r="G359">
        <v>0</v>
      </c>
      <c r="K359">
        <v>0</v>
      </c>
      <c r="M359">
        <v>0</v>
      </c>
      <c r="O359">
        <v>0</v>
      </c>
      <c r="S359">
        <v>0</v>
      </c>
      <c r="T359">
        <v>0</v>
      </c>
      <c r="V359">
        <v>0</v>
      </c>
      <c r="W359">
        <v>671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F359">
        <v>0</v>
      </c>
      <c r="AG359">
        <v>0</v>
      </c>
      <c r="AK359">
        <v>0</v>
      </c>
      <c r="AO359">
        <v>0</v>
      </c>
      <c r="AP359">
        <v>0</v>
      </c>
    </row>
    <row r="360" spans="1:44" x14ac:dyDescent="0.25">
      <c r="A360">
        <v>568</v>
      </c>
      <c r="B360" t="s">
        <v>579</v>
      </c>
      <c r="C360">
        <v>-28.2149</v>
      </c>
      <c r="D360">
        <v>152.8665</v>
      </c>
      <c r="AO360">
        <v>0</v>
      </c>
      <c r="AR360">
        <v>0</v>
      </c>
    </row>
    <row r="361" spans="1:44" x14ac:dyDescent="0.25">
      <c r="A361">
        <v>927</v>
      </c>
      <c r="B361" t="s">
        <v>364</v>
      </c>
      <c r="C361">
        <v>-28.2181</v>
      </c>
      <c r="D361">
        <v>153.54419999999999</v>
      </c>
      <c r="W361">
        <v>0</v>
      </c>
      <c r="X361">
        <v>0</v>
      </c>
      <c r="Y361">
        <v>0</v>
      </c>
      <c r="Z361">
        <v>0</v>
      </c>
      <c r="AA361">
        <v>0</v>
      </c>
      <c r="AC361">
        <v>0</v>
      </c>
      <c r="AD361">
        <v>0</v>
      </c>
      <c r="AE361">
        <v>0</v>
      </c>
      <c r="AF361">
        <v>0</v>
      </c>
    </row>
    <row r="362" spans="1:44" x14ac:dyDescent="0.25">
      <c r="A362">
        <v>358</v>
      </c>
      <c r="B362" t="s">
        <v>580</v>
      </c>
      <c r="C362">
        <v>-28.219245000000001</v>
      </c>
      <c r="D362">
        <v>153.01147700000001</v>
      </c>
      <c r="AK362">
        <v>1000</v>
      </c>
    </row>
    <row r="363" spans="1:44" x14ac:dyDescent="0.25">
      <c r="A363">
        <v>928</v>
      </c>
      <c r="B363" t="s">
        <v>137</v>
      </c>
      <c r="C363">
        <v>-28.221599999999999</v>
      </c>
      <c r="D363">
        <v>153.55439999999999</v>
      </c>
      <c r="W363">
        <v>30</v>
      </c>
      <c r="X363">
        <v>0</v>
      </c>
      <c r="Y363">
        <v>65</v>
      </c>
      <c r="Z363">
        <v>50</v>
      </c>
      <c r="AA363">
        <v>0</v>
      </c>
      <c r="AC363">
        <v>20</v>
      </c>
      <c r="AD363">
        <v>0</v>
      </c>
      <c r="AE363">
        <v>0</v>
      </c>
      <c r="AF363">
        <v>0</v>
      </c>
      <c r="AG363">
        <v>0</v>
      </c>
      <c r="AO363">
        <v>0</v>
      </c>
    </row>
    <row r="364" spans="1:44" x14ac:dyDescent="0.25">
      <c r="A364">
        <v>1038</v>
      </c>
      <c r="B364" t="s">
        <v>804</v>
      </c>
      <c r="C364">
        <v>-28.2258</v>
      </c>
      <c r="D364">
        <v>152.0376</v>
      </c>
      <c r="AG364">
        <v>0</v>
      </c>
      <c r="AH364">
        <v>0</v>
      </c>
    </row>
    <row r="365" spans="1:44" x14ac:dyDescent="0.25">
      <c r="A365">
        <v>79</v>
      </c>
      <c r="B365" t="s">
        <v>365</v>
      </c>
      <c r="C365">
        <v>-28.230989959999999</v>
      </c>
      <c r="D365">
        <v>153.54584399999999</v>
      </c>
      <c r="E365">
        <v>580</v>
      </c>
      <c r="F365">
        <v>3</v>
      </c>
      <c r="G365">
        <v>637</v>
      </c>
      <c r="H365">
        <v>95</v>
      </c>
      <c r="I365">
        <v>2</v>
      </c>
      <c r="K365">
        <v>600</v>
      </c>
      <c r="M365">
        <v>0</v>
      </c>
      <c r="O365">
        <v>0</v>
      </c>
      <c r="P365">
        <v>0</v>
      </c>
      <c r="S365">
        <v>0</v>
      </c>
      <c r="U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E365">
        <v>0</v>
      </c>
      <c r="AF365">
        <v>0</v>
      </c>
      <c r="AK365">
        <v>0</v>
      </c>
      <c r="AO365">
        <v>0</v>
      </c>
      <c r="AP365">
        <v>0</v>
      </c>
    </row>
    <row r="366" spans="1:44" x14ac:dyDescent="0.25">
      <c r="A366">
        <v>133</v>
      </c>
      <c r="B366" t="s">
        <v>138</v>
      </c>
      <c r="C366">
        <v>-28.252604829999999</v>
      </c>
      <c r="D366">
        <v>153.55803409999999</v>
      </c>
      <c r="E366">
        <v>0</v>
      </c>
      <c r="F366">
        <v>0</v>
      </c>
      <c r="I366">
        <v>0</v>
      </c>
      <c r="M366">
        <v>0</v>
      </c>
      <c r="O366">
        <v>0</v>
      </c>
      <c r="P366">
        <v>0</v>
      </c>
      <c r="R366">
        <v>0</v>
      </c>
      <c r="S366">
        <v>0</v>
      </c>
      <c r="U366">
        <v>0</v>
      </c>
      <c r="V366">
        <v>0</v>
      </c>
      <c r="W366">
        <v>0</v>
      </c>
      <c r="X366">
        <v>0</v>
      </c>
      <c r="Y366">
        <v>101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K366">
        <v>0</v>
      </c>
      <c r="AO366">
        <v>0</v>
      </c>
      <c r="AP366">
        <v>0</v>
      </c>
    </row>
    <row r="367" spans="1:44" x14ac:dyDescent="0.25">
      <c r="A367">
        <v>998</v>
      </c>
      <c r="B367" t="s">
        <v>139</v>
      </c>
      <c r="C367">
        <v>-28.258199999999999</v>
      </c>
      <c r="D367">
        <v>153.37379999999999</v>
      </c>
      <c r="AC367">
        <v>20</v>
      </c>
      <c r="AE367">
        <v>280</v>
      </c>
      <c r="AF367">
        <v>418</v>
      </c>
    </row>
    <row r="368" spans="1:44" x14ac:dyDescent="0.25">
      <c r="A368">
        <v>869</v>
      </c>
      <c r="B368" t="s">
        <v>140</v>
      </c>
      <c r="C368">
        <v>-28.2593</v>
      </c>
      <c r="D368">
        <v>153.5719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710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K368">
        <v>0</v>
      </c>
      <c r="AO368">
        <v>0</v>
      </c>
      <c r="AP368">
        <v>0</v>
      </c>
    </row>
    <row r="369" spans="1:42" x14ac:dyDescent="0.25">
      <c r="A369">
        <v>566</v>
      </c>
      <c r="B369" t="s">
        <v>581</v>
      </c>
      <c r="C369">
        <v>-28.267693999999999</v>
      </c>
      <c r="D369">
        <v>151.85702499999999</v>
      </c>
      <c r="O369">
        <v>0</v>
      </c>
      <c r="AD369">
        <v>0</v>
      </c>
    </row>
    <row r="370" spans="1:42" x14ac:dyDescent="0.25">
      <c r="A370">
        <v>85</v>
      </c>
      <c r="B370" t="s">
        <v>582</v>
      </c>
      <c r="C370">
        <v>-28.270899</v>
      </c>
      <c r="D370">
        <v>153.49557730000001</v>
      </c>
      <c r="E370">
        <v>0</v>
      </c>
      <c r="F370">
        <v>0</v>
      </c>
    </row>
    <row r="371" spans="1:42" x14ac:dyDescent="0.25">
      <c r="A371">
        <v>38</v>
      </c>
      <c r="B371" t="s">
        <v>583</v>
      </c>
      <c r="C371">
        <v>-28.290549909999999</v>
      </c>
      <c r="D371">
        <v>153.39297569999999</v>
      </c>
      <c r="F371">
        <v>0</v>
      </c>
      <c r="G371">
        <v>0</v>
      </c>
    </row>
    <row r="372" spans="1:42" x14ac:dyDescent="0.25">
      <c r="A372">
        <v>101</v>
      </c>
      <c r="B372" t="s">
        <v>584</v>
      </c>
      <c r="C372">
        <v>-28.292689360000001</v>
      </c>
      <c r="D372">
        <v>153.35329239999999</v>
      </c>
      <c r="F372">
        <v>0</v>
      </c>
    </row>
    <row r="373" spans="1:42" x14ac:dyDescent="0.25">
      <c r="A373">
        <v>1041</v>
      </c>
      <c r="B373" t="s">
        <v>805</v>
      </c>
      <c r="C373">
        <v>-28.307983</v>
      </c>
      <c r="D373">
        <v>153.27449540000001</v>
      </c>
      <c r="AG373">
        <v>86</v>
      </c>
    </row>
    <row r="374" spans="1:42" x14ac:dyDescent="0.25">
      <c r="A374">
        <v>749</v>
      </c>
      <c r="B374" t="s">
        <v>141</v>
      </c>
      <c r="C374">
        <v>-28.329000000000001</v>
      </c>
      <c r="D374">
        <v>153.37819999999999</v>
      </c>
      <c r="I374">
        <v>50</v>
      </c>
      <c r="K374">
        <v>115</v>
      </c>
      <c r="O374">
        <v>0</v>
      </c>
      <c r="P374">
        <v>330</v>
      </c>
      <c r="R374">
        <v>280</v>
      </c>
      <c r="S374">
        <v>213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55</v>
      </c>
      <c r="AF374">
        <v>0</v>
      </c>
      <c r="AG374">
        <v>0</v>
      </c>
      <c r="AK374">
        <v>0</v>
      </c>
      <c r="AO374">
        <v>0</v>
      </c>
      <c r="AP374">
        <v>0</v>
      </c>
    </row>
    <row r="375" spans="1:42" x14ac:dyDescent="0.25">
      <c r="A375">
        <v>750</v>
      </c>
      <c r="B375" t="s">
        <v>585</v>
      </c>
      <c r="C375">
        <v>-28.331700000000001</v>
      </c>
      <c r="D375">
        <v>153.5626</v>
      </c>
      <c r="I375">
        <v>0</v>
      </c>
      <c r="J375">
        <v>0</v>
      </c>
      <c r="K375">
        <v>0</v>
      </c>
      <c r="O375">
        <v>0</v>
      </c>
      <c r="P375">
        <v>0</v>
      </c>
      <c r="S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D375">
        <v>0</v>
      </c>
      <c r="AE375">
        <v>0</v>
      </c>
      <c r="AK375">
        <v>0</v>
      </c>
      <c r="AO375">
        <v>0</v>
      </c>
    </row>
    <row r="376" spans="1:42" x14ac:dyDescent="0.25">
      <c r="A376">
        <v>1042</v>
      </c>
      <c r="B376" t="s">
        <v>806</v>
      </c>
      <c r="C376">
        <v>-28.333600700000002</v>
      </c>
      <c r="D376">
        <v>153.42088480000001</v>
      </c>
      <c r="AG376">
        <v>57</v>
      </c>
      <c r="AK376">
        <v>144</v>
      </c>
      <c r="AO376">
        <v>0</v>
      </c>
      <c r="AP376">
        <v>0</v>
      </c>
    </row>
    <row r="377" spans="1:42" x14ac:dyDescent="0.25">
      <c r="A377">
        <v>1043</v>
      </c>
      <c r="B377" t="s">
        <v>807</v>
      </c>
      <c r="C377">
        <v>-28.3354818</v>
      </c>
      <c r="D377">
        <v>153.37361870000001</v>
      </c>
      <c r="AK377">
        <v>3200</v>
      </c>
      <c r="AO377">
        <v>1070</v>
      </c>
      <c r="AP377">
        <v>230</v>
      </c>
    </row>
    <row r="378" spans="1:42" x14ac:dyDescent="0.25">
      <c r="A378">
        <v>777</v>
      </c>
      <c r="B378" t="s">
        <v>586</v>
      </c>
      <c r="C378">
        <v>-28.338787</v>
      </c>
      <c r="D378">
        <v>152.30174199999999</v>
      </c>
      <c r="J378">
        <v>0</v>
      </c>
      <c r="M378">
        <v>0</v>
      </c>
      <c r="O378">
        <v>0</v>
      </c>
      <c r="Q378">
        <v>0</v>
      </c>
      <c r="R378">
        <v>0</v>
      </c>
      <c r="S378">
        <v>0</v>
      </c>
      <c r="AD378">
        <v>0</v>
      </c>
    </row>
    <row r="379" spans="1:42" x14ac:dyDescent="0.25">
      <c r="A379">
        <v>491</v>
      </c>
      <c r="B379" t="s">
        <v>142</v>
      </c>
      <c r="C379">
        <v>-28.339200000000002</v>
      </c>
      <c r="D379">
        <v>153.37</v>
      </c>
      <c r="E379">
        <v>11270</v>
      </c>
      <c r="F379">
        <v>8467</v>
      </c>
      <c r="G379">
        <v>10019</v>
      </c>
      <c r="H379">
        <v>200</v>
      </c>
      <c r="I379">
        <v>7344</v>
      </c>
      <c r="J379">
        <v>600</v>
      </c>
      <c r="K379">
        <v>1132</v>
      </c>
      <c r="L379">
        <v>500</v>
      </c>
      <c r="M379">
        <v>671</v>
      </c>
      <c r="N379">
        <v>24376</v>
      </c>
      <c r="O379">
        <v>7628</v>
      </c>
      <c r="P379">
        <v>0</v>
      </c>
      <c r="Q379">
        <v>12000</v>
      </c>
      <c r="R379">
        <v>6524</v>
      </c>
      <c r="S379">
        <v>0</v>
      </c>
      <c r="T379">
        <v>0</v>
      </c>
      <c r="U379">
        <v>2031</v>
      </c>
      <c r="V379">
        <v>2500</v>
      </c>
      <c r="W379">
        <v>671</v>
      </c>
      <c r="X379">
        <v>1471</v>
      </c>
      <c r="Y379">
        <v>1300</v>
      </c>
      <c r="Z379">
        <v>1966</v>
      </c>
      <c r="AA379">
        <v>380</v>
      </c>
      <c r="AB379">
        <v>0</v>
      </c>
      <c r="AC379">
        <v>2100</v>
      </c>
      <c r="AD379">
        <v>1143</v>
      </c>
      <c r="AE379">
        <v>0</v>
      </c>
      <c r="AF379">
        <v>0</v>
      </c>
      <c r="AG379">
        <v>0</v>
      </c>
      <c r="AH379">
        <v>16</v>
      </c>
      <c r="AK379">
        <v>0</v>
      </c>
      <c r="AO379">
        <v>0</v>
      </c>
      <c r="AP379">
        <v>0</v>
      </c>
    </row>
    <row r="380" spans="1:42" x14ac:dyDescent="0.25">
      <c r="A380">
        <v>859</v>
      </c>
      <c r="B380" t="s">
        <v>143</v>
      </c>
      <c r="C380">
        <v>-28.3536</v>
      </c>
      <c r="D380">
        <v>153.20500000000001</v>
      </c>
      <c r="R380">
        <v>5576</v>
      </c>
      <c r="T380">
        <v>0</v>
      </c>
      <c r="U380">
        <v>0</v>
      </c>
      <c r="V380">
        <v>2900</v>
      </c>
      <c r="W380">
        <v>38</v>
      </c>
      <c r="X380">
        <v>0</v>
      </c>
      <c r="Y380">
        <v>2378</v>
      </c>
      <c r="Z380">
        <v>2863</v>
      </c>
      <c r="AA380">
        <v>1806</v>
      </c>
      <c r="AC380">
        <v>2716</v>
      </c>
      <c r="AD380">
        <v>5448</v>
      </c>
      <c r="AE380">
        <v>0</v>
      </c>
      <c r="AF380">
        <v>0</v>
      </c>
      <c r="AG380">
        <v>741</v>
      </c>
      <c r="AK380">
        <v>0</v>
      </c>
      <c r="AO380">
        <v>0</v>
      </c>
      <c r="AP380">
        <v>0</v>
      </c>
    </row>
    <row r="381" spans="1:42" x14ac:dyDescent="0.25">
      <c r="A381">
        <v>35</v>
      </c>
      <c r="B381" t="s">
        <v>587</v>
      </c>
      <c r="C381">
        <v>-28.355705260000001</v>
      </c>
      <c r="D381">
        <v>153.3864705</v>
      </c>
      <c r="E381">
        <v>0</v>
      </c>
      <c r="F381">
        <v>0</v>
      </c>
      <c r="G381">
        <v>0</v>
      </c>
      <c r="I381">
        <v>0</v>
      </c>
    </row>
    <row r="382" spans="1:42" x14ac:dyDescent="0.25">
      <c r="A382">
        <v>512</v>
      </c>
      <c r="B382" t="s">
        <v>366</v>
      </c>
      <c r="C382">
        <v>-28.360099999999999</v>
      </c>
      <c r="D382">
        <v>153.20699999999999</v>
      </c>
      <c r="F382">
        <v>200</v>
      </c>
      <c r="G382">
        <v>400</v>
      </c>
      <c r="J382">
        <v>2100</v>
      </c>
      <c r="K382">
        <v>500</v>
      </c>
      <c r="L382">
        <v>0</v>
      </c>
      <c r="M382">
        <v>4616</v>
      </c>
      <c r="O382">
        <v>0</v>
      </c>
      <c r="P382">
        <v>0</v>
      </c>
      <c r="Q382">
        <v>1200</v>
      </c>
      <c r="S382">
        <v>0</v>
      </c>
      <c r="T382">
        <v>0</v>
      </c>
      <c r="U382">
        <v>1200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K382">
        <v>1045</v>
      </c>
      <c r="AO382">
        <v>100</v>
      </c>
      <c r="AP382">
        <v>100</v>
      </c>
    </row>
    <row r="383" spans="1:42" x14ac:dyDescent="0.25">
      <c r="A383">
        <v>130</v>
      </c>
      <c r="B383" t="s">
        <v>144</v>
      </c>
      <c r="C383">
        <v>-28.385716720000001</v>
      </c>
      <c r="D383">
        <v>153.5654151</v>
      </c>
      <c r="E383">
        <v>0</v>
      </c>
      <c r="F383">
        <v>1000</v>
      </c>
      <c r="G383">
        <v>1979</v>
      </c>
      <c r="H383">
        <v>865</v>
      </c>
      <c r="I383">
        <v>339</v>
      </c>
      <c r="J383">
        <v>0</v>
      </c>
      <c r="K383">
        <v>954</v>
      </c>
      <c r="L383">
        <v>550</v>
      </c>
      <c r="M383">
        <v>200</v>
      </c>
      <c r="N383">
        <v>1070</v>
      </c>
      <c r="O383">
        <v>0</v>
      </c>
      <c r="P383">
        <v>1020</v>
      </c>
      <c r="R383">
        <v>0</v>
      </c>
      <c r="S383">
        <v>2215</v>
      </c>
      <c r="T383">
        <v>26</v>
      </c>
      <c r="U383">
        <v>366</v>
      </c>
      <c r="V383">
        <v>0</v>
      </c>
      <c r="W383">
        <v>5355</v>
      </c>
      <c r="X383">
        <v>1194</v>
      </c>
      <c r="Y383">
        <v>370</v>
      </c>
      <c r="Z383">
        <v>20</v>
      </c>
      <c r="AA383">
        <v>1800</v>
      </c>
      <c r="AB383">
        <v>638</v>
      </c>
      <c r="AC383">
        <v>35</v>
      </c>
      <c r="AD383">
        <v>15</v>
      </c>
      <c r="AE383">
        <v>310</v>
      </c>
      <c r="AF383">
        <v>370</v>
      </c>
      <c r="AG383">
        <v>0</v>
      </c>
      <c r="AK383">
        <v>832</v>
      </c>
      <c r="AO383">
        <v>86</v>
      </c>
      <c r="AP383">
        <v>5</v>
      </c>
    </row>
    <row r="384" spans="1:42" x14ac:dyDescent="0.25">
      <c r="A384">
        <v>1198</v>
      </c>
      <c r="B384" t="s">
        <v>808</v>
      </c>
      <c r="C384">
        <v>-28.3974829</v>
      </c>
      <c r="D384">
        <v>153.4055898</v>
      </c>
      <c r="AK384">
        <v>150</v>
      </c>
      <c r="AO384">
        <v>50</v>
      </c>
      <c r="AP384">
        <v>50</v>
      </c>
    </row>
    <row r="385" spans="1:44" x14ac:dyDescent="0.25">
      <c r="A385">
        <v>553</v>
      </c>
      <c r="B385" t="s">
        <v>588</v>
      </c>
      <c r="C385">
        <v>-28.399166999999998</v>
      </c>
      <c r="D385">
        <v>152.09777800000001</v>
      </c>
      <c r="E385">
        <v>0</v>
      </c>
      <c r="F385">
        <v>0</v>
      </c>
      <c r="G385">
        <v>0</v>
      </c>
    </row>
    <row r="386" spans="1:44" x14ac:dyDescent="0.25">
      <c r="A386">
        <v>72</v>
      </c>
      <c r="B386" t="s">
        <v>589</v>
      </c>
      <c r="C386">
        <v>-28.410615050000001</v>
      </c>
      <c r="D386">
        <v>153.23078169999999</v>
      </c>
      <c r="E386">
        <v>0</v>
      </c>
      <c r="F386">
        <v>0</v>
      </c>
      <c r="G386">
        <v>0</v>
      </c>
    </row>
    <row r="387" spans="1:44" x14ac:dyDescent="0.25">
      <c r="A387">
        <v>111</v>
      </c>
      <c r="B387" t="s">
        <v>145</v>
      </c>
      <c r="C387">
        <v>-28.413426380000001</v>
      </c>
      <c r="D387">
        <v>153.3337932</v>
      </c>
      <c r="E387">
        <v>0</v>
      </c>
      <c r="F387">
        <v>0</v>
      </c>
      <c r="I387">
        <v>0</v>
      </c>
      <c r="J387">
        <v>0</v>
      </c>
      <c r="K387">
        <v>0</v>
      </c>
      <c r="O387">
        <v>0</v>
      </c>
      <c r="P387">
        <v>0</v>
      </c>
      <c r="Q387">
        <v>3436</v>
      </c>
      <c r="S387">
        <v>136</v>
      </c>
      <c r="T387">
        <v>0</v>
      </c>
      <c r="U387">
        <v>4184</v>
      </c>
      <c r="V387">
        <v>2112</v>
      </c>
      <c r="W387">
        <v>700</v>
      </c>
      <c r="X387">
        <v>40</v>
      </c>
      <c r="Y387">
        <v>1690</v>
      </c>
      <c r="Z387">
        <v>1588</v>
      </c>
      <c r="AA387">
        <v>46</v>
      </c>
      <c r="AB387">
        <v>0</v>
      </c>
      <c r="AC387">
        <v>9500</v>
      </c>
      <c r="AD387">
        <v>1156</v>
      </c>
      <c r="AE387">
        <v>127</v>
      </c>
      <c r="AF387">
        <v>118</v>
      </c>
      <c r="AG387">
        <v>7664</v>
      </c>
      <c r="AK387">
        <v>6000</v>
      </c>
      <c r="AO387">
        <v>279</v>
      </c>
      <c r="AP387">
        <v>120</v>
      </c>
    </row>
    <row r="388" spans="1:44" x14ac:dyDescent="0.25">
      <c r="A388">
        <v>548</v>
      </c>
      <c r="B388" t="s">
        <v>590</v>
      </c>
      <c r="C388">
        <v>-28.416008139999999</v>
      </c>
      <c r="D388">
        <v>151.07361750000001</v>
      </c>
      <c r="E388">
        <v>0</v>
      </c>
      <c r="J388">
        <v>0</v>
      </c>
      <c r="U388">
        <v>0</v>
      </c>
      <c r="AD388">
        <v>0</v>
      </c>
    </row>
    <row r="389" spans="1:44" x14ac:dyDescent="0.25">
      <c r="A389">
        <v>66</v>
      </c>
      <c r="B389" t="s">
        <v>21</v>
      </c>
      <c r="C389">
        <v>-28.438289149999999</v>
      </c>
      <c r="D389">
        <v>152.88005369999999</v>
      </c>
      <c r="E389">
        <v>5346</v>
      </c>
      <c r="F389">
        <v>13816</v>
      </c>
      <c r="G389">
        <v>6000</v>
      </c>
      <c r="H389">
        <v>0</v>
      </c>
      <c r="I389">
        <v>37264</v>
      </c>
      <c r="J389">
        <v>25756</v>
      </c>
      <c r="K389">
        <v>2000</v>
      </c>
      <c r="L389">
        <v>0</v>
      </c>
      <c r="M389">
        <v>4861</v>
      </c>
      <c r="N389">
        <v>19418</v>
      </c>
      <c r="O389">
        <v>4600</v>
      </c>
      <c r="P389">
        <v>0</v>
      </c>
      <c r="Q389">
        <v>1900</v>
      </c>
      <c r="R389">
        <v>8400</v>
      </c>
      <c r="S389">
        <v>7330</v>
      </c>
      <c r="T389">
        <v>0</v>
      </c>
      <c r="U389">
        <v>10830</v>
      </c>
      <c r="V389">
        <v>11970</v>
      </c>
      <c r="W389">
        <v>6000</v>
      </c>
      <c r="X389">
        <v>0</v>
      </c>
      <c r="Y389">
        <v>7660</v>
      </c>
      <c r="Z389">
        <v>10800</v>
      </c>
      <c r="AA389">
        <v>56354</v>
      </c>
      <c r="AB389">
        <v>0</v>
      </c>
      <c r="AC389">
        <v>3325</v>
      </c>
      <c r="AD389">
        <v>3000</v>
      </c>
      <c r="AE389">
        <v>1000</v>
      </c>
      <c r="AF389">
        <v>0</v>
      </c>
      <c r="AG389">
        <v>0</v>
      </c>
      <c r="AH389">
        <v>2800</v>
      </c>
      <c r="AK389">
        <v>8800</v>
      </c>
      <c r="AP389">
        <v>5040</v>
      </c>
      <c r="AQ389">
        <v>100</v>
      </c>
      <c r="AR389">
        <v>0</v>
      </c>
    </row>
    <row r="390" spans="1:44" x14ac:dyDescent="0.25">
      <c r="A390">
        <v>493</v>
      </c>
      <c r="B390" t="s">
        <v>146</v>
      </c>
      <c r="C390">
        <v>-28.443059000000002</v>
      </c>
      <c r="D390">
        <v>153.45859999999999</v>
      </c>
      <c r="F390">
        <v>0</v>
      </c>
      <c r="O390">
        <v>0</v>
      </c>
      <c r="P390">
        <v>2</v>
      </c>
      <c r="S390">
        <v>0</v>
      </c>
      <c r="T390">
        <v>8</v>
      </c>
      <c r="U390">
        <v>150</v>
      </c>
      <c r="V390">
        <v>385</v>
      </c>
      <c r="W390">
        <v>0</v>
      </c>
      <c r="X390">
        <v>36</v>
      </c>
      <c r="Y390">
        <v>515</v>
      </c>
      <c r="Z390">
        <v>172</v>
      </c>
      <c r="AA390">
        <v>134</v>
      </c>
      <c r="AB390">
        <v>0</v>
      </c>
      <c r="AC390">
        <v>4</v>
      </c>
      <c r="AD390">
        <v>67</v>
      </c>
      <c r="AE390">
        <v>40</v>
      </c>
      <c r="AF390">
        <v>112</v>
      </c>
      <c r="AG390">
        <v>185</v>
      </c>
      <c r="AK390">
        <v>6095</v>
      </c>
      <c r="AO390">
        <v>0</v>
      </c>
      <c r="AP390">
        <v>245</v>
      </c>
    </row>
    <row r="391" spans="1:44" x14ac:dyDescent="0.25">
      <c r="A391">
        <v>647</v>
      </c>
      <c r="B391" t="s">
        <v>147</v>
      </c>
      <c r="C391">
        <v>-28.444900000000001</v>
      </c>
      <c r="D391">
        <v>152.9991</v>
      </c>
      <c r="G391">
        <v>300</v>
      </c>
      <c r="H391">
        <v>0</v>
      </c>
      <c r="I391">
        <v>2000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S391">
        <v>0</v>
      </c>
      <c r="Y391">
        <v>0</v>
      </c>
      <c r="AA391">
        <v>2785</v>
      </c>
      <c r="AB391">
        <v>0</v>
      </c>
      <c r="AC391">
        <v>0</v>
      </c>
      <c r="AD391">
        <v>0</v>
      </c>
      <c r="AE391">
        <v>1000</v>
      </c>
      <c r="AF391">
        <v>400</v>
      </c>
      <c r="AG391">
        <v>550</v>
      </c>
      <c r="AH391">
        <v>2040</v>
      </c>
      <c r="AK391">
        <v>3000</v>
      </c>
      <c r="AP391">
        <v>360</v>
      </c>
      <c r="AQ391">
        <v>0</v>
      </c>
      <c r="AR391">
        <v>0</v>
      </c>
    </row>
    <row r="392" spans="1:44" x14ac:dyDescent="0.25">
      <c r="A392">
        <v>505</v>
      </c>
      <c r="B392" t="s">
        <v>591</v>
      </c>
      <c r="C392">
        <v>-28.4482</v>
      </c>
      <c r="D392">
        <v>153.5008</v>
      </c>
      <c r="F392">
        <v>0</v>
      </c>
      <c r="AG392">
        <v>0</v>
      </c>
    </row>
    <row r="393" spans="1:44" x14ac:dyDescent="0.25">
      <c r="A393">
        <v>59</v>
      </c>
      <c r="B393" t="s">
        <v>367</v>
      </c>
      <c r="C393">
        <v>-28.509</v>
      </c>
      <c r="D393">
        <v>153.5478</v>
      </c>
      <c r="E393">
        <v>0</v>
      </c>
      <c r="F393">
        <v>0</v>
      </c>
      <c r="G393">
        <v>0</v>
      </c>
      <c r="H393">
        <v>120</v>
      </c>
      <c r="J393">
        <v>0</v>
      </c>
      <c r="K393">
        <v>375</v>
      </c>
      <c r="L393">
        <v>400</v>
      </c>
      <c r="O393">
        <v>180</v>
      </c>
      <c r="T393">
        <v>2000</v>
      </c>
      <c r="U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E393">
        <v>0</v>
      </c>
      <c r="AH393">
        <v>0</v>
      </c>
    </row>
    <row r="394" spans="1:44" x14ac:dyDescent="0.25">
      <c r="A394">
        <v>77</v>
      </c>
      <c r="B394" t="s">
        <v>368</v>
      </c>
      <c r="C394">
        <v>-28.529843079999999</v>
      </c>
      <c r="D394">
        <v>153.54287930000001</v>
      </c>
      <c r="E394">
        <v>0</v>
      </c>
      <c r="F394">
        <v>0</v>
      </c>
      <c r="G394">
        <v>0</v>
      </c>
      <c r="H394">
        <v>0</v>
      </c>
      <c r="I394">
        <v>36</v>
      </c>
      <c r="J394">
        <v>0</v>
      </c>
      <c r="K394">
        <v>0</v>
      </c>
      <c r="L394">
        <v>0</v>
      </c>
      <c r="O394">
        <v>0</v>
      </c>
      <c r="S394">
        <v>0</v>
      </c>
      <c r="U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E394">
        <v>0</v>
      </c>
      <c r="AH394">
        <v>0</v>
      </c>
    </row>
    <row r="395" spans="1:44" x14ac:dyDescent="0.25">
      <c r="A395">
        <v>606</v>
      </c>
      <c r="B395" t="s">
        <v>592</v>
      </c>
      <c r="C395">
        <v>-28.536899999999999</v>
      </c>
      <c r="D395">
        <v>153.1797</v>
      </c>
      <c r="F395">
        <v>0</v>
      </c>
      <c r="G395">
        <v>0</v>
      </c>
    </row>
    <row r="396" spans="1:44" x14ac:dyDescent="0.25">
      <c r="A396">
        <v>547</v>
      </c>
      <c r="B396" t="s">
        <v>593</v>
      </c>
      <c r="C396">
        <v>-28.538333300000001</v>
      </c>
      <c r="D396">
        <v>150.28694440000001</v>
      </c>
      <c r="E396">
        <v>0</v>
      </c>
      <c r="F396">
        <v>0</v>
      </c>
      <c r="G396">
        <v>0</v>
      </c>
      <c r="H396">
        <v>0</v>
      </c>
      <c r="J396">
        <v>0</v>
      </c>
      <c r="U396">
        <v>0</v>
      </c>
      <c r="AD396">
        <v>0</v>
      </c>
      <c r="AF396">
        <v>0</v>
      </c>
      <c r="AK396">
        <v>0</v>
      </c>
    </row>
    <row r="397" spans="1:44" x14ac:dyDescent="0.25">
      <c r="A397">
        <v>527</v>
      </c>
      <c r="B397" t="s">
        <v>148</v>
      </c>
      <c r="C397">
        <v>-28.550799999999999</v>
      </c>
      <c r="D397">
        <v>153.49430000000001</v>
      </c>
      <c r="E397">
        <v>8503</v>
      </c>
      <c r="F397">
        <v>0</v>
      </c>
      <c r="G397">
        <v>1055</v>
      </c>
      <c r="I397">
        <v>0</v>
      </c>
      <c r="J397">
        <v>350</v>
      </c>
      <c r="L397">
        <v>0</v>
      </c>
      <c r="N397">
        <v>5000</v>
      </c>
      <c r="O397">
        <v>3500</v>
      </c>
      <c r="P397">
        <v>713</v>
      </c>
      <c r="Q397">
        <v>455</v>
      </c>
      <c r="R397">
        <v>1334</v>
      </c>
      <c r="S397">
        <v>25</v>
      </c>
      <c r="T397">
        <v>0</v>
      </c>
      <c r="U397">
        <v>1200</v>
      </c>
      <c r="V397">
        <v>3116</v>
      </c>
      <c r="W397">
        <v>8279</v>
      </c>
      <c r="X397">
        <v>721</v>
      </c>
      <c r="Y397">
        <v>5332</v>
      </c>
      <c r="Z397">
        <v>2454</v>
      </c>
      <c r="AA397">
        <v>0</v>
      </c>
      <c r="AC397">
        <v>2654</v>
      </c>
      <c r="AD397">
        <v>2624</v>
      </c>
      <c r="AE397">
        <v>0</v>
      </c>
      <c r="AF397">
        <v>0</v>
      </c>
      <c r="AG397">
        <v>1070</v>
      </c>
      <c r="AH397">
        <v>1995</v>
      </c>
      <c r="AK397">
        <v>3435</v>
      </c>
    </row>
    <row r="398" spans="1:44" x14ac:dyDescent="0.25">
      <c r="A398">
        <v>422</v>
      </c>
      <c r="B398" t="s">
        <v>594</v>
      </c>
      <c r="C398">
        <v>-28.553999999999998</v>
      </c>
      <c r="D398">
        <v>151.81299999999999</v>
      </c>
      <c r="AD398">
        <v>0</v>
      </c>
    </row>
    <row r="399" spans="1:44" x14ac:dyDescent="0.25">
      <c r="A399">
        <v>776</v>
      </c>
      <c r="B399" t="s">
        <v>595</v>
      </c>
      <c r="C399">
        <v>-28.563019000000001</v>
      </c>
      <c r="D399">
        <v>148.237899</v>
      </c>
      <c r="J399">
        <v>0</v>
      </c>
      <c r="U399">
        <v>0</v>
      </c>
      <c r="AD399">
        <v>0</v>
      </c>
      <c r="AK399">
        <v>0</v>
      </c>
    </row>
    <row r="400" spans="1:44" x14ac:dyDescent="0.25">
      <c r="A400">
        <v>88</v>
      </c>
      <c r="B400" t="s">
        <v>596</v>
      </c>
      <c r="C400">
        <v>-28.57991071</v>
      </c>
      <c r="D400">
        <v>153.3069538</v>
      </c>
      <c r="E400">
        <v>0</v>
      </c>
      <c r="F400">
        <v>0</v>
      </c>
      <c r="G400">
        <v>0</v>
      </c>
      <c r="H400">
        <v>0</v>
      </c>
      <c r="I400">
        <v>0</v>
      </c>
      <c r="L400">
        <v>0</v>
      </c>
      <c r="N400">
        <v>0</v>
      </c>
      <c r="P400">
        <v>0</v>
      </c>
    </row>
    <row r="401" spans="1:44" x14ac:dyDescent="0.25">
      <c r="A401">
        <v>622</v>
      </c>
      <c r="B401" t="s">
        <v>369</v>
      </c>
      <c r="C401">
        <v>-28.581600000000002</v>
      </c>
      <c r="D401">
        <v>153.24250000000001</v>
      </c>
      <c r="E401">
        <v>0</v>
      </c>
      <c r="F401">
        <v>452</v>
      </c>
      <c r="G401">
        <v>930</v>
      </c>
      <c r="H401">
        <v>0</v>
      </c>
      <c r="I401">
        <v>3440</v>
      </c>
      <c r="J401">
        <v>9600</v>
      </c>
      <c r="K401">
        <v>0</v>
      </c>
      <c r="L401">
        <v>0</v>
      </c>
      <c r="M401">
        <v>4941</v>
      </c>
      <c r="N401">
        <v>65642</v>
      </c>
      <c r="O401">
        <v>0</v>
      </c>
      <c r="P401">
        <v>0</v>
      </c>
      <c r="Q401">
        <v>4877</v>
      </c>
      <c r="R401">
        <v>10000</v>
      </c>
      <c r="S401">
        <v>389</v>
      </c>
      <c r="T401">
        <v>0</v>
      </c>
      <c r="U401">
        <v>200</v>
      </c>
      <c r="V401">
        <v>0</v>
      </c>
      <c r="Y401">
        <v>0</v>
      </c>
      <c r="Z401">
        <v>0</v>
      </c>
      <c r="AA401">
        <v>0</v>
      </c>
      <c r="AB401">
        <v>0</v>
      </c>
      <c r="AF401">
        <v>0</v>
      </c>
      <c r="AG401">
        <v>0</v>
      </c>
      <c r="AQ401">
        <v>0</v>
      </c>
      <c r="AR401">
        <v>0</v>
      </c>
    </row>
    <row r="402" spans="1:44" x14ac:dyDescent="0.25">
      <c r="A402">
        <v>73</v>
      </c>
      <c r="B402" t="s">
        <v>597</v>
      </c>
      <c r="C402">
        <v>-28.593531609999999</v>
      </c>
      <c r="D402">
        <v>153.52943060000001</v>
      </c>
      <c r="E402">
        <v>0</v>
      </c>
      <c r="F402">
        <v>0</v>
      </c>
    </row>
    <row r="403" spans="1:44" x14ac:dyDescent="0.25">
      <c r="A403">
        <v>621</v>
      </c>
      <c r="B403" t="s">
        <v>149</v>
      </c>
      <c r="C403">
        <v>-28.5974</v>
      </c>
      <c r="D403">
        <v>153.1919</v>
      </c>
      <c r="F403">
        <v>0</v>
      </c>
      <c r="G403">
        <v>0</v>
      </c>
      <c r="H403">
        <v>0</v>
      </c>
      <c r="N403">
        <v>0</v>
      </c>
      <c r="S403">
        <v>0</v>
      </c>
      <c r="AA403">
        <v>2500</v>
      </c>
      <c r="AR403">
        <v>0</v>
      </c>
    </row>
    <row r="404" spans="1:44" x14ac:dyDescent="0.25">
      <c r="A404">
        <v>930</v>
      </c>
      <c r="B404" t="s">
        <v>23</v>
      </c>
      <c r="C404">
        <v>-28.5992</v>
      </c>
      <c r="D404">
        <v>153.23439999999999</v>
      </c>
      <c r="V404">
        <v>17787</v>
      </c>
      <c r="W404">
        <v>8869</v>
      </c>
      <c r="X404">
        <v>4995</v>
      </c>
      <c r="Y404">
        <v>8448</v>
      </c>
      <c r="Z404">
        <v>30431</v>
      </c>
      <c r="AA404">
        <v>18</v>
      </c>
      <c r="AB404">
        <v>0</v>
      </c>
      <c r="AC404">
        <v>26000</v>
      </c>
      <c r="AD404">
        <v>12635</v>
      </c>
      <c r="AE404">
        <v>0</v>
      </c>
      <c r="AF404">
        <v>4850</v>
      </c>
      <c r="AG404">
        <v>5403</v>
      </c>
      <c r="AH404">
        <v>8030</v>
      </c>
      <c r="AQ404">
        <v>0</v>
      </c>
      <c r="AR404">
        <v>0</v>
      </c>
    </row>
    <row r="405" spans="1:44" x14ac:dyDescent="0.25">
      <c r="A405">
        <v>620</v>
      </c>
      <c r="B405" t="s">
        <v>150</v>
      </c>
      <c r="C405">
        <v>-28.602</v>
      </c>
      <c r="D405">
        <v>153.23050000000001</v>
      </c>
      <c r="E405">
        <v>0</v>
      </c>
      <c r="F405">
        <v>0</v>
      </c>
      <c r="G405">
        <v>0</v>
      </c>
      <c r="H405">
        <v>460</v>
      </c>
      <c r="K405">
        <v>0</v>
      </c>
      <c r="N405">
        <v>0</v>
      </c>
      <c r="R405">
        <v>0</v>
      </c>
      <c r="S405">
        <v>0</v>
      </c>
      <c r="AB405">
        <v>0</v>
      </c>
      <c r="AE405">
        <v>369</v>
      </c>
      <c r="AF405">
        <v>0</v>
      </c>
      <c r="AG405">
        <v>0</v>
      </c>
      <c r="AR405">
        <v>0</v>
      </c>
    </row>
    <row r="406" spans="1:44" x14ac:dyDescent="0.25">
      <c r="A406">
        <v>53</v>
      </c>
      <c r="B406" t="s">
        <v>151</v>
      </c>
      <c r="C406">
        <v>-28.613537999999998</v>
      </c>
      <c r="D406">
        <v>153.00325900000001</v>
      </c>
      <c r="E406">
        <v>0</v>
      </c>
      <c r="F406">
        <v>0</v>
      </c>
      <c r="G406">
        <v>0</v>
      </c>
      <c r="I406">
        <v>23030</v>
      </c>
      <c r="J406">
        <v>400</v>
      </c>
      <c r="L406">
        <v>303</v>
      </c>
      <c r="M406">
        <v>5792</v>
      </c>
      <c r="N406">
        <v>3100</v>
      </c>
      <c r="O406">
        <v>0</v>
      </c>
      <c r="P406">
        <v>0</v>
      </c>
      <c r="Q406">
        <v>500</v>
      </c>
      <c r="S406">
        <v>337</v>
      </c>
      <c r="T406">
        <v>0</v>
      </c>
      <c r="U406">
        <v>8120</v>
      </c>
      <c r="V406">
        <v>301</v>
      </c>
      <c r="W406">
        <v>104</v>
      </c>
      <c r="X406">
        <v>6801</v>
      </c>
      <c r="Y406">
        <v>3000</v>
      </c>
      <c r="Z406">
        <v>3850</v>
      </c>
      <c r="AA406">
        <v>938</v>
      </c>
      <c r="AB406">
        <v>0</v>
      </c>
      <c r="AC406">
        <v>9500</v>
      </c>
      <c r="AD406">
        <v>1620</v>
      </c>
      <c r="AE406">
        <v>1300</v>
      </c>
      <c r="AF406">
        <v>2300</v>
      </c>
      <c r="AG406">
        <v>866</v>
      </c>
      <c r="AH406">
        <v>3990</v>
      </c>
      <c r="AK406">
        <v>12600</v>
      </c>
      <c r="AP406">
        <v>5760</v>
      </c>
      <c r="AQ406">
        <v>2260</v>
      </c>
      <c r="AR406">
        <v>7831</v>
      </c>
    </row>
    <row r="407" spans="1:44" x14ac:dyDescent="0.25">
      <c r="A407">
        <v>122</v>
      </c>
      <c r="B407" t="s">
        <v>370</v>
      </c>
      <c r="C407">
        <v>-28.617844089999998</v>
      </c>
      <c r="D407">
        <v>152.9961596</v>
      </c>
      <c r="E407">
        <v>0</v>
      </c>
      <c r="F407">
        <v>2310</v>
      </c>
      <c r="G407">
        <v>0</v>
      </c>
      <c r="K407">
        <v>0</v>
      </c>
      <c r="N407">
        <v>4000</v>
      </c>
      <c r="O407">
        <v>0</v>
      </c>
      <c r="AG407">
        <v>0</v>
      </c>
      <c r="AQ407">
        <v>0</v>
      </c>
      <c r="AR407">
        <v>0</v>
      </c>
    </row>
    <row r="408" spans="1:44" x14ac:dyDescent="0.25">
      <c r="A408">
        <v>103</v>
      </c>
      <c r="B408" t="s">
        <v>598</v>
      </c>
      <c r="C408">
        <v>-28.61901907</v>
      </c>
      <c r="D408">
        <v>152.87067289999999</v>
      </c>
      <c r="E408">
        <v>0</v>
      </c>
      <c r="F408">
        <v>0</v>
      </c>
      <c r="H408">
        <v>0</v>
      </c>
    </row>
    <row r="409" spans="1:44" x14ac:dyDescent="0.25">
      <c r="A409">
        <v>240</v>
      </c>
      <c r="B409" t="s">
        <v>152</v>
      </c>
      <c r="C409">
        <v>-28.640646870000001</v>
      </c>
      <c r="D409">
        <v>153.56988680000001</v>
      </c>
      <c r="E409">
        <v>0</v>
      </c>
      <c r="F409">
        <v>0</v>
      </c>
      <c r="AA409">
        <v>780</v>
      </c>
    </row>
    <row r="410" spans="1:44" x14ac:dyDescent="0.25">
      <c r="A410">
        <v>494</v>
      </c>
      <c r="B410" t="s">
        <v>371</v>
      </c>
      <c r="C410">
        <v>-28.6434</v>
      </c>
      <c r="D410">
        <v>153.60839999999999</v>
      </c>
      <c r="E410">
        <v>1003</v>
      </c>
      <c r="F410">
        <v>50</v>
      </c>
      <c r="G410">
        <v>160</v>
      </c>
      <c r="H410">
        <v>0</v>
      </c>
      <c r="I410">
        <v>20</v>
      </c>
      <c r="K410">
        <v>303</v>
      </c>
      <c r="L410">
        <v>0</v>
      </c>
      <c r="N410">
        <v>20</v>
      </c>
      <c r="P410">
        <v>0</v>
      </c>
      <c r="T410">
        <v>0</v>
      </c>
      <c r="U410">
        <v>478</v>
      </c>
      <c r="W410">
        <v>285</v>
      </c>
      <c r="Y410">
        <v>0</v>
      </c>
      <c r="AA410">
        <v>0</v>
      </c>
      <c r="AE410">
        <v>0</v>
      </c>
      <c r="AF410">
        <v>0</v>
      </c>
      <c r="AG410">
        <v>0</v>
      </c>
      <c r="AH410">
        <v>0</v>
      </c>
    </row>
    <row r="411" spans="1:44" x14ac:dyDescent="0.25">
      <c r="A411">
        <v>948</v>
      </c>
      <c r="B411" t="s">
        <v>153</v>
      </c>
      <c r="C411">
        <v>-28.6434</v>
      </c>
      <c r="D411">
        <v>153.5581</v>
      </c>
      <c r="X411">
        <v>562</v>
      </c>
      <c r="Y411">
        <v>683</v>
      </c>
      <c r="Z411">
        <v>403</v>
      </c>
    </row>
    <row r="412" spans="1:44" x14ac:dyDescent="0.25">
      <c r="A412">
        <v>857</v>
      </c>
      <c r="B412" t="s">
        <v>154</v>
      </c>
      <c r="C412">
        <v>-28.644600000000001</v>
      </c>
      <c r="D412">
        <v>153.61519999999999</v>
      </c>
      <c r="R412">
        <v>140</v>
      </c>
      <c r="T412">
        <v>660</v>
      </c>
      <c r="V412">
        <v>430</v>
      </c>
      <c r="W412">
        <v>1934</v>
      </c>
      <c r="X412">
        <v>463</v>
      </c>
      <c r="Y412">
        <v>276</v>
      </c>
      <c r="Z412">
        <v>342</v>
      </c>
      <c r="AA412">
        <v>1955</v>
      </c>
      <c r="AC412">
        <v>521</v>
      </c>
      <c r="AD412">
        <v>36</v>
      </c>
      <c r="AE412">
        <v>252</v>
      </c>
      <c r="AF412">
        <v>360</v>
      </c>
      <c r="AG412">
        <v>450</v>
      </c>
      <c r="AH412">
        <v>388</v>
      </c>
      <c r="AK412">
        <v>275</v>
      </c>
    </row>
    <row r="413" spans="1:44" x14ac:dyDescent="0.25">
      <c r="A413">
        <v>949</v>
      </c>
      <c r="B413" t="s">
        <v>155</v>
      </c>
      <c r="C413">
        <v>-28.651800000000001</v>
      </c>
      <c r="D413">
        <v>153.45179999999999</v>
      </c>
      <c r="Y413">
        <v>244</v>
      </c>
      <c r="AA413">
        <v>40</v>
      </c>
      <c r="AO413">
        <v>0</v>
      </c>
    </row>
    <row r="414" spans="1:44" x14ac:dyDescent="0.25">
      <c r="A414">
        <v>451</v>
      </c>
      <c r="B414" t="s">
        <v>372</v>
      </c>
      <c r="C414">
        <v>-28.651917999999998</v>
      </c>
      <c r="D414">
        <v>151.93108699999999</v>
      </c>
      <c r="AC414">
        <v>0</v>
      </c>
      <c r="AD414">
        <v>0</v>
      </c>
      <c r="AH414">
        <v>18</v>
      </c>
      <c r="AQ414">
        <v>250</v>
      </c>
    </row>
    <row r="415" spans="1:44" x14ac:dyDescent="0.25">
      <c r="A415">
        <v>748</v>
      </c>
      <c r="B415" t="s">
        <v>156</v>
      </c>
      <c r="C415">
        <v>-28.677099999999999</v>
      </c>
      <c r="D415">
        <v>153.35550000000001</v>
      </c>
      <c r="I415">
        <v>2357</v>
      </c>
      <c r="J415">
        <v>4268</v>
      </c>
      <c r="K415">
        <v>2400</v>
      </c>
      <c r="L415">
        <v>0</v>
      </c>
      <c r="M415">
        <v>4030</v>
      </c>
      <c r="N415">
        <v>6840</v>
      </c>
      <c r="O415">
        <v>0</v>
      </c>
      <c r="P415">
        <v>0</v>
      </c>
      <c r="Q415">
        <v>1000</v>
      </c>
      <c r="R415">
        <v>2467</v>
      </c>
      <c r="T415">
        <v>0</v>
      </c>
      <c r="U415">
        <v>6565</v>
      </c>
      <c r="Y415">
        <v>950</v>
      </c>
      <c r="Z415">
        <v>360</v>
      </c>
      <c r="AF415">
        <v>0</v>
      </c>
    </row>
    <row r="416" spans="1:44" x14ac:dyDescent="0.25">
      <c r="A416">
        <v>612</v>
      </c>
      <c r="B416" t="s">
        <v>599</v>
      </c>
      <c r="C416">
        <v>-28.681493</v>
      </c>
      <c r="D416">
        <v>153.43869599999999</v>
      </c>
      <c r="F416">
        <v>0</v>
      </c>
      <c r="G416">
        <v>0</v>
      </c>
    </row>
    <row r="417" spans="1:44" x14ac:dyDescent="0.25">
      <c r="A417">
        <v>956</v>
      </c>
      <c r="B417" t="s">
        <v>157</v>
      </c>
      <c r="C417">
        <v>-28.684699999999999</v>
      </c>
      <c r="D417">
        <v>153.52780000000001</v>
      </c>
      <c r="AD417">
        <v>957</v>
      </c>
    </row>
    <row r="418" spans="1:44" x14ac:dyDescent="0.25">
      <c r="A418">
        <v>524</v>
      </c>
      <c r="B418" t="s">
        <v>158</v>
      </c>
      <c r="C418">
        <v>-28.684799999999999</v>
      </c>
      <c r="D418">
        <v>153.51949999999999</v>
      </c>
      <c r="E418">
        <v>500</v>
      </c>
      <c r="F418">
        <v>306</v>
      </c>
      <c r="G418">
        <v>0</v>
      </c>
      <c r="H418">
        <v>25</v>
      </c>
      <c r="I418">
        <v>226</v>
      </c>
      <c r="J418">
        <v>600</v>
      </c>
      <c r="K418">
        <v>198</v>
      </c>
      <c r="L418">
        <v>0</v>
      </c>
      <c r="N418">
        <v>1845</v>
      </c>
      <c r="P418">
        <v>0</v>
      </c>
      <c r="R418">
        <v>400</v>
      </c>
      <c r="T418">
        <v>0</v>
      </c>
      <c r="U418">
        <v>955</v>
      </c>
      <c r="V418">
        <v>1911</v>
      </c>
      <c r="W418">
        <v>0</v>
      </c>
      <c r="X418">
        <v>0</v>
      </c>
      <c r="Y418">
        <v>1781</v>
      </c>
      <c r="Z418">
        <v>2549</v>
      </c>
      <c r="AC418">
        <v>1776</v>
      </c>
      <c r="AE418">
        <v>0</v>
      </c>
      <c r="AF418">
        <v>0</v>
      </c>
      <c r="AG418">
        <v>0</v>
      </c>
      <c r="AH418">
        <v>1919</v>
      </c>
    </row>
    <row r="419" spans="1:44" x14ac:dyDescent="0.25">
      <c r="A419">
        <v>525</v>
      </c>
      <c r="B419" t="s">
        <v>159</v>
      </c>
      <c r="C419">
        <v>-28.6876</v>
      </c>
      <c r="D419">
        <v>153.60300000000001</v>
      </c>
      <c r="E419">
        <v>119</v>
      </c>
      <c r="F419">
        <v>65</v>
      </c>
      <c r="G419">
        <v>410</v>
      </c>
      <c r="H419">
        <v>330</v>
      </c>
      <c r="I419">
        <v>80</v>
      </c>
      <c r="K419">
        <v>72</v>
      </c>
      <c r="L419">
        <v>0</v>
      </c>
      <c r="N419">
        <v>240</v>
      </c>
      <c r="O419">
        <v>0</v>
      </c>
      <c r="P419">
        <v>0</v>
      </c>
      <c r="R419">
        <v>110</v>
      </c>
      <c r="T419">
        <v>0</v>
      </c>
      <c r="U419">
        <v>84</v>
      </c>
      <c r="V419">
        <v>57</v>
      </c>
      <c r="W419">
        <v>0</v>
      </c>
      <c r="X419">
        <v>0</v>
      </c>
      <c r="Y419">
        <v>340</v>
      </c>
      <c r="Z419">
        <v>362</v>
      </c>
      <c r="AA419">
        <v>0</v>
      </c>
      <c r="AC419">
        <v>187</v>
      </c>
      <c r="AD419">
        <v>547</v>
      </c>
      <c r="AE419">
        <v>0</v>
      </c>
      <c r="AF419">
        <v>32</v>
      </c>
      <c r="AG419">
        <v>950</v>
      </c>
      <c r="AH419">
        <v>214</v>
      </c>
    </row>
    <row r="420" spans="1:44" x14ac:dyDescent="0.25">
      <c r="A420">
        <v>611</v>
      </c>
      <c r="B420" t="s">
        <v>600</v>
      </c>
      <c r="C420">
        <v>-28.6889</v>
      </c>
      <c r="D420">
        <v>153.3107</v>
      </c>
      <c r="F420">
        <v>0</v>
      </c>
      <c r="G420">
        <v>0</v>
      </c>
      <c r="H420">
        <v>0</v>
      </c>
      <c r="I420">
        <v>0</v>
      </c>
      <c r="J420">
        <v>0</v>
      </c>
      <c r="M420">
        <v>0</v>
      </c>
      <c r="W420">
        <v>0</v>
      </c>
    </row>
    <row r="421" spans="1:44" x14ac:dyDescent="0.25">
      <c r="A421">
        <v>502</v>
      </c>
      <c r="B421" t="s">
        <v>160</v>
      </c>
      <c r="C421">
        <v>-28.690100000000001</v>
      </c>
      <c r="D421">
        <v>153.18879999999999</v>
      </c>
      <c r="F421">
        <v>0</v>
      </c>
      <c r="G421">
        <v>0</v>
      </c>
      <c r="H421">
        <v>0</v>
      </c>
      <c r="J421">
        <v>0</v>
      </c>
      <c r="L421">
        <v>0</v>
      </c>
      <c r="M421">
        <v>0</v>
      </c>
      <c r="O421">
        <v>0</v>
      </c>
      <c r="P421">
        <v>0</v>
      </c>
      <c r="S421">
        <v>0</v>
      </c>
      <c r="T421">
        <v>0</v>
      </c>
      <c r="U421">
        <v>0</v>
      </c>
      <c r="W421">
        <v>0</v>
      </c>
      <c r="X421">
        <v>0</v>
      </c>
      <c r="Z421">
        <v>1400</v>
      </c>
      <c r="AA421">
        <v>260</v>
      </c>
      <c r="AD421">
        <v>0</v>
      </c>
      <c r="AF421">
        <v>1200</v>
      </c>
    </row>
    <row r="422" spans="1:44" x14ac:dyDescent="0.25">
      <c r="A422">
        <v>125</v>
      </c>
      <c r="B422" t="s">
        <v>601</v>
      </c>
      <c r="C422">
        <v>-28.69598577</v>
      </c>
      <c r="D422">
        <v>153.1305697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M422">
        <v>0</v>
      </c>
    </row>
    <row r="423" spans="1:44" x14ac:dyDescent="0.25">
      <c r="A423">
        <v>235</v>
      </c>
      <c r="B423" t="s">
        <v>602</v>
      </c>
      <c r="C423">
        <v>-28.704450349999998</v>
      </c>
      <c r="D423">
        <v>153.57679450000001</v>
      </c>
      <c r="E423">
        <v>0</v>
      </c>
      <c r="F423">
        <v>0</v>
      </c>
    </row>
    <row r="424" spans="1:44" x14ac:dyDescent="0.25">
      <c r="A424">
        <v>891</v>
      </c>
      <c r="B424" t="s">
        <v>161</v>
      </c>
      <c r="C424">
        <v>-28.734300000000001</v>
      </c>
      <c r="D424">
        <v>153.41749999999999</v>
      </c>
      <c r="V424">
        <v>1500</v>
      </c>
      <c r="W424">
        <v>1042</v>
      </c>
      <c r="X424">
        <v>2336</v>
      </c>
      <c r="Y424">
        <v>1687</v>
      </c>
      <c r="AA424">
        <v>1600</v>
      </c>
    </row>
    <row r="425" spans="1:44" x14ac:dyDescent="0.25">
      <c r="A425">
        <v>18</v>
      </c>
      <c r="B425" t="s">
        <v>373</v>
      </c>
      <c r="C425">
        <v>-28.74412817</v>
      </c>
      <c r="D425">
        <v>153.4484501</v>
      </c>
      <c r="E425">
        <v>0</v>
      </c>
      <c r="F425">
        <v>0</v>
      </c>
      <c r="G425">
        <v>0</v>
      </c>
      <c r="I425">
        <v>0</v>
      </c>
      <c r="K425">
        <v>0</v>
      </c>
      <c r="M425">
        <v>200</v>
      </c>
      <c r="N425">
        <v>0</v>
      </c>
    </row>
    <row r="426" spans="1:44" x14ac:dyDescent="0.25">
      <c r="A426">
        <v>816</v>
      </c>
      <c r="B426" t="s">
        <v>374</v>
      </c>
      <c r="C426">
        <v>-28.765000000000001</v>
      </c>
      <c r="D426">
        <v>153.07570000000001</v>
      </c>
      <c r="M426">
        <v>1000</v>
      </c>
      <c r="N426">
        <v>2500</v>
      </c>
      <c r="AK426">
        <v>8000</v>
      </c>
      <c r="AQ426">
        <v>6500</v>
      </c>
    </row>
    <row r="427" spans="1:44" x14ac:dyDescent="0.25">
      <c r="A427">
        <v>14</v>
      </c>
      <c r="B427" t="s">
        <v>603</v>
      </c>
      <c r="C427">
        <v>-28.77999028</v>
      </c>
      <c r="D427">
        <v>153.33242340000001</v>
      </c>
      <c r="F427">
        <v>0</v>
      </c>
      <c r="G427">
        <v>0</v>
      </c>
      <c r="H427">
        <v>0</v>
      </c>
      <c r="I427">
        <v>0</v>
      </c>
      <c r="J427">
        <v>0</v>
      </c>
      <c r="M427">
        <v>0</v>
      </c>
      <c r="W427">
        <v>0</v>
      </c>
    </row>
    <row r="428" spans="1:44" x14ac:dyDescent="0.25">
      <c r="A428">
        <v>1026</v>
      </c>
      <c r="B428" t="s">
        <v>809</v>
      </c>
      <c r="C428">
        <v>-28.7867</v>
      </c>
      <c r="D428">
        <v>153.58680000000001</v>
      </c>
      <c r="AF428">
        <v>547</v>
      </c>
    </row>
    <row r="429" spans="1:44" x14ac:dyDescent="0.25">
      <c r="A429">
        <v>34</v>
      </c>
      <c r="B429" t="s">
        <v>604</v>
      </c>
      <c r="C429">
        <v>-28.796732429999999</v>
      </c>
      <c r="D429">
        <v>153.28567910000001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M429">
        <v>0</v>
      </c>
      <c r="AR429">
        <v>0</v>
      </c>
    </row>
    <row r="430" spans="1:44" x14ac:dyDescent="0.25">
      <c r="A430">
        <v>255</v>
      </c>
      <c r="B430" t="s">
        <v>24</v>
      </c>
      <c r="C430">
        <v>-28.810186850000001</v>
      </c>
      <c r="D430">
        <v>153.2957078</v>
      </c>
      <c r="E430">
        <v>5850</v>
      </c>
      <c r="F430">
        <v>14263</v>
      </c>
      <c r="G430">
        <v>6319</v>
      </c>
      <c r="H430">
        <v>4976</v>
      </c>
      <c r="I430">
        <v>4200</v>
      </c>
      <c r="J430">
        <v>18661</v>
      </c>
      <c r="K430">
        <v>1950</v>
      </c>
      <c r="L430">
        <v>13443</v>
      </c>
      <c r="M430">
        <v>3220</v>
      </c>
      <c r="N430">
        <v>14908</v>
      </c>
      <c r="O430">
        <v>4200</v>
      </c>
      <c r="P430">
        <v>50285</v>
      </c>
      <c r="R430">
        <v>15692</v>
      </c>
      <c r="S430">
        <v>10073</v>
      </c>
      <c r="T430">
        <v>95441</v>
      </c>
      <c r="U430">
        <v>17192</v>
      </c>
      <c r="V430">
        <v>10095</v>
      </c>
      <c r="W430">
        <v>1819</v>
      </c>
      <c r="X430">
        <v>52172</v>
      </c>
      <c r="Y430">
        <v>29797</v>
      </c>
      <c r="Z430">
        <v>7219</v>
      </c>
      <c r="AA430">
        <v>25935</v>
      </c>
      <c r="AB430">
        <v>90675</v>
      </c>
      <c r="AD430">
        <v>10953</v>
      </c>
      <c r="AE430">
        <v>5200</v>
      </c>
      <c r="AF430">
        <v>7000</v>
      </c>
      <c r="AG430">
        <v>7664</v>
      </c>
      <c r="AH430">
        <v>9000</v>
      </c>
      <c r="AK430">
        <v>26143</v>
      </c>
      <c r="AP430">
        <v>11295</v>
      </c>
      <c r="AQ430">
        <v>4814</v>
      </c>
      <c r="AR430">
        <v>10641</v>
      </c>
    </row>
    <row r="431" spans="1:44" x14ac:dyDescent="0.25">
      <c r="A431">
        <v>58</v>
      </c>
      <c r="B431" t="s">
        <v>605</v>
      </c>
      <c r="C431">
        <v>-28.826496460000001</v>
      </c>
      <c r="D431">
        <v>153.44681420000001</v>
      </c>
      <c r="E431">
        <v>0</v>
      </c>
      <c r="F431">
        <v>0</v>
      </c>
      <c r="G431">
        <v>0</v>
      </c>
    </row>
    <row r="432" spans="1:44" x14ac:dyDescent="0.25">
      <c r="A432">
        <v>261</v>
      </c>
      <c r="B432" t="s">
        <v>606</v>
      </c>
      <c r="C432">
        <v>-28.832494969999999</v>
      </c>
      <c r="D432">
        <v>153.28941560000001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M432">
        <v>0</v>
      </c>
    </row>
    <row r="433" spans="1:44" x14ac:dyDescent="0.25">
      <c r="A433">
        <v>55</v>
      </c>
      <c r="B433" t="s">
        <v>162</v>
      </c>
      <c r="C433">
        <v>-28.835839549999999</v>
      </c>
      <c r="D433">
        <v>153.43820260000001</v>
      </c>
      <c r="E433">
        <v>715</v>
      </c>
      <c r="F433">
        <v>1200</v>
      </c>
      <c r="G433">
        <v>736</v>
      </c>
      <c r="H433">
        <v>115</v>
      </c>
      <c r="I433">
        <v>1200</v>
      </c>
      <c r="J433">
        <v>262</v>
      </c>
      <c r="K433">
        <v>690</v>
      </c>
      <c r="L433">
        <v>835</v>
      </c>
      <c r="M433">
        <v>127</v>
      </c>
      <c r="N433">
        <v>1160</v>
      </c>
      <c r="O433">
        <v>105</v>
      </c>
      <c r="P433">
        <v>200</v>
      </c>
      <c r="Q433">
        <v>1000</v>
      </c>
      <c r="R433">
        <v>0</v>
      </c>
      <c r="S433">
        <v>0</v>
      </c>
      <c r="T433">
        <v>1000</v>
      </c>
      <c r="U433">
        <v>750</v>
      </c>
      <c r="V433">
        <v>250</v>
      </c>
      <c r="W433">
        <v>160</v>
      </c>
      <c r="X433">
        <v>1620</v>
      </c>
      <c r="Y433">
        <v>510</v>
      </c>
      <c r="Z433">
        <v>160</v>
      </c>
      <c r="AA433">
        <v>625</v>
      </c>
      <c r="AB433">
        <v>500</v>
      </c>
      <c r="AG433">
        <v>650</v>
      </c>
      <c r="AQ433">
        <v>127</v>
      </c>
      <c r="AR433">
        <v>1250</v>
      </c>
    </row>
    <row r="434" spans="1:44" x14ac:dyDescent="0.25">
      <c r="A434">
        <v>246</v>
      </c>
      <c r="B434" t="s">
        <v>163</v>
      </c>
      <c r="C434">
        <v>-28.85864793</v>
      </c>
      <c r="D434">
        <v>153.56666290000001</v>
      </c>
      <c r="E434">
        <v>0</v>
      </c>
      <c r="F434">
        <v>90</v>
      </c>
      <c r="G434">
        <v>410</v>
      </c>
      <c r="H434">
        <v>198</v>
      </c>
      <c r="I434">
        <v>397</v>
      </c>
      <c r="J434">
        <v>285</v>
      </c>
      <c r="K434">
        <v>170</v>
      </c>
      <c r="L434">
        <v>200</v>
      </c>
      <c r="M434">
        <v>320</v>
      </c>
      <c r="N434">
        <v>163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800</v>
      </c>
      <c r="V434">
        <v>25</v>
      </c>
      <c r="W434">
        <v>3067</v>
      </c>
      <c r="Y434">
        <v>750</v>
      </c>
      <c r="Z434">
        <v>0</v>
      </c>
      <c r="AA434">
        <v>500</v>
      </c>
      <c r="AB434">
        <v>700</v>
      </c>
      <c r="AD434">
        <v>750</v>
      </c>
      <c r="AE434">
        <v>1000</v>
      </c>
      <c r="AP434">
        <v>50</v>
      </c>
      <c r="AQ434">
        <v>3300</v>
      </c>
    </row>
    <row r="435" spans="1:44" x14ac:dyDescent="0.25">
      <c r="A435">
        <v>250</v>
      </c>
      <c r="B435" t="s">
        <v>607</v>
      </c>
      <c r="C435">
        <v>-28.859701520000002</v>
      </c>
      <c r="D435">
        <v>153.3653798</v>
      </c>
      <c r="E435">
        <v>0</v>
      </c>
      <c r="F435">
        <v>0</v>
      </c>
      <c r="G435">
        <v>0</v>
      </c>
    </row>
    <row r="436" spans="1:44" x14ac:dyDescent="0.25">
      <c r="A436">
        <v>39</v>
      </c>
      <c r="B436" t="s">
        <v>608</v>
      </c>
      <c r="C436">
        <v>-28.86011946</v>
      </c>
      <c r="D436">
        <v>153.57933320000001</v>
      </c>
      <c r="E436">
        <v>0</v>
      </c>
      <c r="F436">
        <v>0</v>
      </c>
      <c r="M436">
        <v>0</v>
      </c>
    </row>
    <row r="437" spans="1:44" x14ac:dyDescent="0.25">
      <c r="A437">
        <v>1258</v>
      </c>
      <c r="B437" t="s">
        <v>810</v>
      </c>
      <c r="C437">
        <v>-28.863050000000001</v>
      </c>
      <c r="D437">
        <v>153.54503</v>
      </c>
      <c r="AP437">
        <v>8</v>
      </c>
      <c r="AQ437">
        <v>0</v>
      </c>
    </row>
    <row r="438" spans="1:44" x14ac:dyDescent="0.25">
      <c r="A438">
        <v>1005</v>
      </c>
      <c r="B438" t="s">
        <v>375</v>
      </c>
      <c r="C438">
        <v>-28.863099999999999</v>
      </c>
      <c r="D438">
        <v>153.5445</v>
      </c>
      <c r="AE438">
        <v>0</v>
      </c>
      <c r="AG438">
        <v>390</v>
      </c>
      <c r="AR438">
        <v>1280</v>
      </c>
    </row>
    <row r="439" spans="1:44" x14ac:dyDescent="0.25">
      <c r="A439">
        <v>36</v>
      </c>
      <c r="B439" t="s">
        <v>609</v>
      </c>
      <c r="C439">
        <v>-28.86558453</v>
      </c>
      <c r="D439">
        <v>153.40506490000001</v>
      </c>
      <c r="E439">
        <v>0</v>
      </c>
      <c r="F439">
        <v>0</v>
      </c>
      <c r="G439">
        <v>0</v>
      </c>
      <c r="N439">
        <v>0</v>
      </c>
    </row>
    <row r="440" spans="1:44" x14ac:dyDescent="0.25">
      <c r="A440">
        <v>26</v>
      </c>
      <c r="B440" t="s">
        <v>164</v>
      </c>
      <c r="C440">
        <v>-28.867034</v>
      </c>
      <c r="D440">
        <v>153.04987</v>
      </c>
      <c r="E440">
        <v>14158</v>
      </c>
      <c r="F440">
        <v>3397</v>
      </c>
      <c r="G440">
        <v>2130</v>
      </c>
      <c r="H440">
        <v>5630</v>
      </c>
      <c r="I440">
        <v>1726</v>
      </c>
      <c r="J440">
        <v>1218</v>
      </c>
      <c r="K440">
        <v>2590</v>
      </c>
      <c r="L440">
        <v>2460</v>
      </c>
      <c r="M440">
        <v>3171</v>
      </c>
      <c r="N440">
        <v>2200</v>
      </c>
      <c r="O440">
        <v>2110</v>
      </c>
      <c r="P440">
        <v>0</v>
      </c>
      <c r="Q440">
        <v>2500</v>
      </c>
      <c r="R440">
        <v>740</v>
      </c>
      <c r="S440">
        <v>605</v>
      </c>
      <c r="T440">
        <v>450</v>
      </c>
      <c r="U440">
        <v>1171</v>
      </c>
      <c r="V440">
        <v>1883</v>
      </c>
      <c r="W440">
        <v>0</v>
      </c>
      <c r="X440">
        <v>0</v>
      </c>
      <c r="Y440">
        <v>1700</v>
      </c>
      <c r="Z440">
        <v>2200</v>
      </c>
      <c r="AA440">
        <v>1000</v>
      </c>
      <c r="AB440">
        <v>0</v>
      </c>
      <c r="AC440">
        <v>950</v>
      </c>
      <c r="AD440">
        <v>2490</v>
      </c>
      <c r="AE440">
        <v>425</v>
      </c>
      <c r="AG440">
        <v>4980</v>
      </c>
      <c r="AH440">
        <v>12000</v>
      </c>
      <c r="AK440">
        <v>6802</v>
      </c>
      <c r="AQ440">
        <v>0</v>
      </c>
      <c r="AR440">
        <v>0</v>
      </c>
    </row>
    <row r="441" spans="1:44" x14ac:dyDescent="0.25">
      <c r="A441">
        <v>610</v>
      </c>
      <c r="B441" t="s">
        <v>376</v>
      </c>
      <c r="C441">
        <v>-28.879168</v>
      </c>
      <c r="D441">
        <v>153.39120199999999</v>
      </c>
      <c r="F441">
        <v>600</v>
      </c>
      <c r="G441">
        <v>0</v>
      </c>
      <c r="N441">
        <v>0</v>
      </c>
      <c r="AB441">
        <v>0</v>
      </c>
      <c r="AC441">
        <v>0</v>
      </c>
      <c r="AF441">
        <v>0</v>
      </c>
      <c r="AH441">
        <v>0</v>
      </c>
    </row>
    <row r="442" spans="1:44" x14ac:dyDescent="0.25">
      <c r="A442">
        <v>609</v>
      </c>
      <c r="B442" t="s">
        <v>25</v>
      </c>
      <c r="C442">
        <v>-28.883279000000002</v>
      </c>
      <c r="D442">
        <v>153.40165200000001</v>
      </c>
      <c r="F442">
        <v>0</v>
      </c>
      <c r="G442">
        <v>0</v>
      </c>
      <c r="AA442">
        <v>0</v>
      </c>
      <c r="AB442">
        <v>0</v>
      </c>
      <c r="AC442">
        <v>44095</v>
      </c>
      <c r="AD442">
        <v>26220</v>
      </c>
      <c r="AF442">
        <v>0</v>
      </c>
      <c r="AG442">
        <v>5627</v>
      </c>
      <c r="AH442">
        <v>8721</v>
      </c>
      <c r="AK442">
        <v>9200</v>
      </c>
      <c r="AP442">
        <v>15448</v>
      </c>
      <c r="AQ442">
        <v>0</v>
      </c>
      <c r="AR442">
        <v>0</v>
      </c>
    </row>
    <row r="443" spans="1:44" x14ac:dyDescent="0.25">
      <c r="A443">
        <v>112</v>
      </c>
      <c r="B443" t="s">
        <v>377</v>
      </c>
      <c r="C443">
        <v>-28.898003330000002</v>
      </c>
      <c r="D443">
        <v>152.7490889</v>
      </c>
      <c r="F443">
        <v>8040</v>
      </c>
      <c r="G443">
        <v>0</v>
      </c>
      <c r="H443">
        <v>0</v>
      </c>
      <c r="K443">
        <v>0</v>
      </c>
      <c r="M443">
        <v>0</v>
      </c>
      <c r="T443">
        <v>0</v>
      </c>
      <c r="V443">
        <v>0</v>
      </c>
    </row>
    <row r="444" spans="1:44" x14ac:dyDescent="0.25">
      <c r="A444">
        <v>936</v>
      </c>
      <c r="B444" t="s">
        <v>165</v>
      </c>
      <c r="C444">
        <v>-28.901299999999999</v>
      </c>
      <c r="D444">
        <v>150.78</v>
      </c>
      <c r="X444">
        <v>1880</v>
      </c>
      <c r="AK444">
        <v>0</v>
      </c>
    </row>
    <row r="445" spans="1:44" x14ac:dyDescent="0.25">
      <c r="A445">
        <v>62</v>
      </c>
      <c r="B445" t="s">
        <v>610</v>
      </c>
      <c r="C445">
        <v>-28.933760509999999</v>
      </c>
      <c r="D445">
        <v>153.4330836</v>
      </c>
      <c r="E445">
        <v>0</v>
      </c>
      <c r="F445">
        <v>0</v>
      </c>
      <c r="M445">
        <v>0</v>
      </c>
    </row>
    <row r="446" spans="1:44" x14ac:dyDescent="0.25">
      <c r="A446">
        <v>121</v>
      </c>
      <c r="B446" t="s">
        <v>378</v>
      </c>
      <c r="C446">
        <v>-28.977130500000001</v>
      </c>
      <c r="D446">
        <v>153.29220889999999</v>
      </c>
      <c r="E446">
        <v>0</v>
      </c>
      <c r="F446">
        <v>0</v>
      </c>
      <c r="G446">
        <v>200</v>
      </c>
      <c r="J446">
        <v>112</v>
      </c>
      <c r="K446">
        <v>0</v>
      </c>
      <c r="O446">
        <v>0</v>
      </c>
      <c r="Q446">
        <v>0</v>
      </c>
      <c r="S446">
        <v>0</v>
      </c>
      <c r="W446">
        <v>0</v>
      </c>
      <c r="Y446">
        <v>0</v>
      </c>
      <c r="Z446">
        <v>0</v>
      </c>
      <c r="AH446">
        <v>3500</v>
      </c>
      <c r="AR446">
        <v>0</v>
      </c>
    </row>
    <row r="447" spans="1:44" x14ac:dyDescent="0.25">
      <c r="A447">
        <v>91</v>
      </c>
      <c r="B447" t="s">
        <v>611</v>
      </c>
      <c r="C447">
        <v>-28.986944319999999</v>
      </c>
      <c r="D447">
        <v>153.41478609999999</v>
      </c>
      <c r="F447">
        <v>0</v>
      </c>
      <c r="G447">
        <v>0</v>
      </c>
      <c r="N447">
        <v>0</v>
      </c>
    </row>
    <row r="448" spans="1:44" x14ac:dyDescent="0.25">
      <c r="A448">
        <v>266</v>
      </c>
      <c r="B448" t="s">
        <v>612</v>
      </c>
      <c r="C448">
        <v>-28.989597060000001</v>
      </c>
      <c r="D448">
        <v>153.4575749</v>
      </c>
      <c r="F448">
        <v>0</v>
      </c>
    </row>
    <row r="449" spans="1:44" x14ac:dyDescent="0.25">
      <c r="A449">
        <v>492</v>
      </c>
      <c r="B449" t="s">
        <v>166</v>
      </c>
      <c r="C449">
        <v>-29.014099999999999</v>
      </c>
      <c r="D449">
        <v>153.43010000000001</v>
      </c>
      <c r="F449">
        <v>0</v>
      </c>
      <c r="G449">
        <v>870</v>
      </c>
      <c r="H449">
        <v>520</v>
      </c>
      <c r="I449">
        <v>430</v>
      </c>
      <c r="J449">
        <v>800</v>
      </c>
      <c r="K449">
        <v>700</v>
      </c>
      <c r="L449">
        <v>650</v>
      </c>
      <c r="M449">
        <v>60</v>
      </c>
      <c r="N449">
        <v>710</v>
      </c>
      <c r="O449">
        <v>1050</v>
      </c>
      <c r="P449">
        <v>0</v>
      </c>
      <c r="Q449">
        <v>320</v>
      </c>
      <c r="S449">
        <v>420</v>
      </c>
      <c r="T449">
        <v>74</v>
      </c>
      <c r="U449">
        <v>259</v>
      </c>
      <c r="V449">
        <v>268</v>
      </c>
      <c r="W449">
        <v>0</v>
      </c>
      <c r="X449">
        <v>0</v>
      </c>
      <c r="Y449">
        <v>0</v>
      </c>
      <c r="Z449">
        <v>1200</v>
      </c>
      <c r="AA449">
        <v>0</v>
      </c>
      <c r="AB449">
        <v>0</v>
      </c>
      <c r="AD449">
        <v>280</v>
      </c>
      <c r="AE449">
        <v>0</v>
      </c>
      <c r="AG449">
        <v>250</v>
      </c>
      <c r="AH449">
        <v>0</v>
      </c>
      <c r="AP449">
        <v>0</v>
      </c>
      <c r="AQ449">
        <v>0</v>
      </c>
      <c r="AR449">
        <v>0</v>
      </c>
    </row>
    <row r="450" spans="1:44" x14ac:dyDescent="0.25">
      <c r="A450">
        <v>71</v>
      </c>
      <c r="B450" t="s">
        <v>613</v>
      </c>
      <c r="C450">
        <v>-29.032109290000001</v>
      </c>
      <c r="D450">
        <v>152.6772388</v>
      </c>
      <c r="F450">
        <v>0</v>
      </c>
      <c r="G450">
        <v>0</v>
      </c>
      <c r="H450">
        <v>0</v>
      </c>
    </row>
    <row r="451" spans="1:44" x14ac:dyDescent="0.25">
      <c r="A451">
        <v>509</v>
      </c>
      <c r="B451" t="s">
        <v>379</v>
      </c>
      <c r="C451">
        <v>-29.0656</v>
      </c>
      <c r="D451">
        <v>153.35390000000001</v>
      </c>
      <c r="E451">
        <v>0</v>
      </c>
      <c r="F451">
        <v>0</v>
      </c>
      <c r="G451">
        <v>0</v>
      </c>
      <c r="N451">
        <v>3303</v>
      </c>
      <c r="O451">
        <v>0</v>
      </c>
      <c r="S451">
        <v>0</v>
      </c>
      <c r="Z451">
        <v>0</v>
      </c>
      <c r="AG451">
        <v>0</v>
      </c>
      <c r="AP451">
        <v>0</v>
      </c>
      <c r="AR451">
        <v>0</v>
      </c>
    </row>
    <row r="452" spans="1:44" x14ac:dyDescent="0.25">
      <c r="A452">
        <v>128</v>
      </c>
      <c r="B452" t="s">
        <v>380</v>
      </c>
      <c r="C452">
        <v>-29.09792745</v>
      </c>
      <c r="D452">
        <v>153.35062199999999</v>
      </c>
      <c r="E452">
        <v>0</v>
      </c>
      <c r="F452">
        <v>0</v>
      </c>
      <c r="G452">
        <v>0</v>
      </c>
      <c r="K452">
        <v>0</v>
      </c>
      <c r="N452">
        <v>3530</v>
      </c>
      <c r="O452">
        <v>0</v>
      </c>
      <c r="P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AH452">
        <v>0</v>
      </c>
      <c r="AR452">
        <v>0</v>
      </c>
    </row>
    <row r="453" spans="1:44" x14ac:dyDescent="0.25">
      <c r="A453">
        <v>239</v>
      </c>
      <c r="B453" t="s">
        <v>167</v>
      </c>
      <c r="C453">
        <v>-29.111899999999999</v>
      </c>
      <c r="D453">
        <v>153.43270000000001</v>
      </c>
      <c r="E453">
        <v>240</v>
      </c>
      <c r="F453">
        <v>500</v>
      </c>
      <c r="G453">
        <v>1150</v>
      </c>
      <c r="H453">
        <v>160</v>
      </c>
      <c r="I453">
        <v>0</v>
      </c>
      <c r="J453">
        <v>0</v>
      </c>
      <c r="K453">
        <v>4000</v>
      </c>
      <c r="L453">
        <v>1173</v>
      </c>
      <c r="M453">
        <v>0</v>
      </c>
      <c r="N453">
        <v>0</v>
      </c>
      <c r="O453">
        <v>1500</v>
      </c>
      <c r="P453">
        <v>208</v>
      </c>
      <c r="Q453">
        <v>0</v>
      </c>
      <c r="R453">
        <v>0</v>
      </c>
      <c r="S453">
        <v>1200</v>
      </c>
      <c r="T453">
        <v>0</v>
      </c>
      <c r="U453">
        <v>1500</v>
      </c>
      <c r="V453">
        <v>0</v>
      </c>
      <c r="W453">
        <v>0</v>
      </c>
      <c r="X453">
        <v>0</v>
      </c>
      <c r="Y453">
        <v>0</v>
      </c>
      <c r="Z453">
        <v>1750</v>
      </c>
      <c r="AA453">
        <v>3200</v>
      </c>
      <c r="AB453">
        <v>0</v>
      </c>
      <c r="AC453">
        <v>100</v>
      </c>
      <c r="AD453">
        <v>850</v>
      </c>
      <c r="AE453">
        <v>8500</v>
      </c>
      <c r="AG453">
        <v>450</v>
      </c>
      <c r="AH453">
        <v>2637</v>
      </c>
      <c r="AQ453">
        <v>2500</v>
      </c>
      <c r="AR453">
        <v>1000</v>
      </c>
    </row>
    <row r="454" spans="1:44" x14ac:dyDescent="0.25">
      <c r="A454">
        <v>78</v>
      </c>
      <c r="B454" t="s">
        <v>614</v>
      </c>
      <c r="C454">
        <v>-29.154030769999999</v>
      </c>
      <c r="D454">
        <v>153.3804864</v>
      </c>
      <c r="F454">
        <v>0</v>
      </c>
      <c r="G454">
        <v>0</v>
      </c>
      <c r="J454">
        <v>0</v>
      </c>
      <c r="V454">
        <v>0</v>
      </c>
      <c r="AA454">
        <v>0</v>
      </c>
      <c r="AB454">
        <v>0</v>
      </c>
      <c r="AD454">
        <v>0</v>
      </c>
    </row>
    <row r="455" spans="1:44" x14ac:dyDescent="0.25">
      <c r="A455">
        <v>123</v>
      </c>
      <c r="B455" t="s">
        <v>615</v>
      </c>
      <c r="C455">
        <v>-29.262554399999999</v>
      </c>
      <c r="D455">
        <v>153.0478067</v>
      </c>
      <c r="F455">
        <v>0</v>
      </c>
      <c r="G455">
        <v>0</v>
      </c>
    </row>
    <row r="456" spans="1:44" x14ac:dyDescent="0.25">
      <c r="A456">
        <v>92</v>
      </c>
      <c r="B456" t="s">
        <v>616</v>
      </c>
      <c r="C456">
        <v>-29.281759040000001</v>
      </c>
      <c r="D456">
        <v>153.0185266</v>
      </c>
      <c r="F456">
        <v>0</v>
      </c>
      <c r="G456">
        <v>0</v>
      </c>
    </row>
    <row r="457" spans="1:44" x14ac:dyDescent="0.25">
      <c r="A457">
        <v>41</v>
      </c>
      <c r="B457" t="s">
        <v>617</v>
      </c>
      <c r="C457">
        <v>-29.355931229999999</v>
      </c>
      <c r="D457">
        <v>153.31905660000001</v>
      </c>
      <c r="E457">
        <v>0</v>
      </c>
      <c r="F457">
        <v>0</v>
      </c>
      <c r="G457">
        <v>0</v>
      </c>
      <c r="H457">
        <v>0</v>
      </c>
      <c r="I457">
        <v>0</v>
      </c>
      <c r="K457">
        <v>0</v>
      </c>
      <c r="T457">
        <v>0</v>
      </c>
      <c r="Z457">
        <v>0</v>
      </c>
    </row>
    <row r="458" spans="1:44" x14ac:dyDescent="0.25">
      <c r="A458">
        <v>638</v>
      </c>
      <c r="B458" t="s">
        <v>618</v>
      </c>
      <c r="C458">
        <v>-29.366299999999999</v>
      </c>
      <c r="D458">
        <v>153.24549999999999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R458">
        <v>0</v>
      </c>
      <c r="U458">
        <v>0</v>
      </c>
      <c r="V458">
        <v>0</v>
      </c>
      <c r="W458">
        <v>0</v>
      </c>
      <c r="Y458">
        <v>0</v>
      </c>
      <c r="AA458">
        <v>0</v>
      </c>
      <c r="AD458">
        <v>0</v>
      </c>
    </row>
    <row r="459" spans="1:44" x14ac:dyDescent="0.25">
      <c r="A459">
        <v>639</v>
      </c>
      <c r="B459" t="s">
        <v>619</v>
      </c>
      <c r="C459">
        <v>-29.366399999999999</v>
      </c>
      <c r="D459">
        <v>153.27000000000001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M459">
        <v>0</v>
      </c>
      <c r="O459">
        <v>0</v>
      </c>
      <c r="R459">
        <v>0</v>
      </c>
      <c r="Y459">
        <v>0</v>
      </c>
      <c r="AA459">
        <v>0</v>
      </c>
      <c r="AD459">
        <v>0</v>
      </c>
    </row>
    <row r="460" spans="1:44" x14ac:dyDescent="0.25">
      <c r="A460">
        <v>637</v>
      </c>
      <c r="B460" t="s">
        <v>620</v>
      </c>
      <c r="C460">
        <v>-29.368300000000001</v>
      </c>
      <c r="D460">
        <v>153.27250000000001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R460">
        <v>0</v>
      </c>
      <c r="U460">
        <v>0</v>
      </c>
      <c r="V460">
        <v>0</v>
      </c>
      <c r="W460">
        <v>0</v>
      </c>
      <c r="AA460">
        <v>0</v>
      </c>
      <c r="AD460">
        <v>0</v>
      </c>
    </row>
    <row r="461" spans="1:44" x14ac:dyDescent="0.25">
      <c r="A461">
        <v>15</v>
      </c>
      <c r="B461" t="s">
        <v>381</v>
      </c>
      <c r="C461">
        <v>-29.38895454</v>
      </c>
      <c r="D461">
        <v>153.34236799999999</v>
      </c>
      <c r="E461">
        <v>0</v>
      </c>
      <c r="F461">
        <v>0</v>
      </c>
      <c r="G461">
        <v>0</v>
      </c>
      <c r="I461">
        <v>10</v>
      </c>
      <c r="L461">
        <v>0</v>
      </c>
      <c r="M461">
        <v>0</v>
      </c>
      <c r="N461">
        <v>0</v>
      </c>
      <c r="O461">
        <v>0</v>
      </c>
      <c r="W461">
        <v>0</v>
      </c>
      <c r="AA461">
        <v>0</v>
      </c>
      <c r="AD461">
        <v>0</v>
      </c>
    </row>
    <row r="462" spans="1:44" x14ac:dyDescent="0.25">
      <c r="A462">
        <v>243</v>
      </c>
      <c r="B462" t="s">
        <v>168</v>
      </c>
      <c r="C462">
        <v>-29.39970495</v>
      </c>
      <c r="D462">
        <v>153.3469217</v>
      </c>
      <c r="E462">
        <v>0</v>
      </c>
      <c r="F462">
        <v>0</v>
      </c>
      <c r="G462">
        <v>600</v>
      </c>
      <c r="H462">
        <v>50</v>
      </c>
      <c r="I462">
        <v>10</v>
      </c>
      <c r="J462">
        <v>0</v>
      </c>
      <c r="K462">
        <v>6400</v>
      </c>
      <c r="L462">
        <v>3150</v>
      </c>
      <c r="M462">
        <v>0</v>
      </c>
      <c r="N462">
        <v>0</v>
      </c>
      <c r="O462">
        <v>0</v>
      </c>
      <c r="P462">
        <v>0</v>
      </c>
      <c r="R462">
        <v>0</v>
      </c>
      <c r="S462">
        <v>2400</v>
      </c>
      <c r="V462">
        <v>0</v>
      </c>
      <c r="W462">
        <v>0</v>
      </c>
      <c r="Y462">
        <v>0</v>
      </c>
      <c r="AA462">
        <v>0</v>
      </c>
      <c r="AD462">
        <v>0</v>
      </c>
      <c r="AE462">
        <v>5500</v>
      </c>
      <c r="AF462">
        <v>2250</v>
      </c>
      <c r="AH462">
        <v>954</v>
      </c>
      <c r="AK462">
        <v>1000</v>
      </c>
    </row>
    <row r="463" spans="1:44" x14ac:dyDescent="0.25">
      <c r="A463">
        <v>256</v>
      </c>
      <c r="B463" t="s">
        <v>621</v>
      </c>
      <c r="C463">
        <v>-29.410562160000001</v>
      </c>
      <c r="D463">
        <v>153.32554920000001</v>
      </c>
      <c r="E463">
        <v>0</v>
      </c>
      <c r="F463">
        <v>0</v>
      </c>
      <c r="G463">
        <v>0</v>
      </c>
      <c r="L463">
        <v>0</v>
      </c>
      <c r="M463">
        <v>0</v>
      </c>
      <c r="N463">
        <v>0</v>
      </c>
      <c r="AA463">
        <v>0</v>
      </c>
    </row>
    <row r="464" spans="1:44" x14ac:dyDescent="0.25">
      <c r="A464">
        <v>258</v>
      </c>
      <c r="B464" t="s">
        <v>622</v>
      </c>
      <c r="C464">
        <v>-29.418579600000001</v>
      </c>
      <c r="D464">
        <v>153.31300859999999</v>
      </c>
      <c r="E464">
        <v>0</v>
      </c>
      <c r="F464">
        <v>0</v>
      </c>
      <c r="G464">
        <v>0</v>
      </c>
      <c r="L464">
        <v>0</v>
      </c>
      <c r="M464">
        <v>0</v>
      </c>
      <c r="N464">
        <v>0</v>
      </c>
      <c r="O464">
        <v>0</v>
      </c>
    </row>
    <row r="465" spans="1:44" x14ac:dyDescent="0.25">
      <c r="A465">
        <v>519</v>
      </c>
      <c r="B465" t="s">
        <v>382</v>
      </c>
      <c r="C465">
        <v>-29.423500000000001</v>
      </c>
      <c r="D465">
        <v>153.33260000000001</v>
      </c>
      <c r="E465">
        <v>305</v>
      </c>
      <c r="F465">
        <v>1259</v>
      </c>
      <c r="G465">
        <v>3900</v>
      </c>
      <c r="H465">
        <v>0</v>
      </c>
      <c r="I465">
        <v>200</v>
      </c>
      <c r="J465">
        <v>40</v>
      </c>
      <c r="K465">
        <v>1400</v>
      </c>
      <c r="L465">
        <v>900</v>
      </c>
      <c r="M465">
        <v>1166</v>
      </c>
      <c r="N465">
        <v>317</v>
      </c>
      <c r="O465">
        <v>0</v>
      </c>
      <c r="P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Y465">
        <v>0</v>
      </c>
      <c r="AB465">
        <v>0</v>
      </c>
      <c r="AD465">
        <v>0</v>
      </c>
      <c r="AF465">
        <v>0</v>
      </c>
      <c r="AH465">
        <v>0</v>
      </c>
      <c r="AP465">
        <v>0</v>
      </c>
      <c r="AR465">
        <v>0</v>
      </c>
    </row>
    <row r="466" spans="1:44" x14ac:dyDescent="0.25">
      <c r="A466">
        <v>260</v>
      </c>
      <c r="B466" t="s">
        <v>623</v>
      </c>
      <c r="C466">
        <v>-29.428290140000001</v>
      </c>
      <c r="D466">
        <v>153.3132961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R466">
        <v>0</v>
      </c>
      <c r="U466">
        <v>0</v>
      </c>
      <c r="V466">
        <v>0</v>
      </c>
      <c r="W466">
        <v>0</v>
      </c>
      <c r="AA466">
        <v>0</v>
      </c>
      <c r="AD466">
        <v>0</v>
      </c>
    </row>
    <row r="467" spans="1:44" x14ac:dyDescent="0.25">
      <c r="A467">
        <v>108</v>
      </c>
      <c r="B467" t="s">
        <v>624</v>
      </c>
      <c r="C467">
        <v>-29.43523729</v>
      </c>
      <c r="D467">
        <v>153.20886970000001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44" x14ac:dyDescent="0.25">
      <c r="A468">
        <v>228</v>
      </c>
      <c r="B468" t="s">
        <v>625</v>
      </c>
      <c r="C468">
        <v>-29.443676</v>
      </c>
      <c r="D468">
        <v>153.19529929999999</v>
      </c>
      <c r="E468">
        <v>0</v>
      </c>
      <c r="F468">
        <v>0</v>
      </c>
      <c r="G468">
        <v>0</v>
      </c>
    </row>
    <row r="469" spans="1:44" x14ac:dyDescent="0.25">
      <c r="A469">
        <v>5</v>
      </c>
      <c r="B469" t="s">
        <v>26</v>
      </c>
      <c r="C469">
        <v>-29.44920935</v>
      </c>
      <c r="D469">
        <v>153.3506466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U469">
        <v>0</v>
      </c>
      <c r="V469">
        <v>0</v>
      </c>
      <c r="W469">
        <v>0</v>
      </c>
      <c r="AA469">
        <v>0</v>
      </c>
      <c r="AD469">
        <v>0</v>
      </c>
      <c r="AE469">
        <v>20000</v>
      </c>
      <c r="AF469">
        <v>0</v>
      </c>
      <c r="AG469">
        <v>0</v>
      </c>
      <c r="AH469">
        <v>0</v>
      </c>
      <c r="AR469">
        <v>0</v>
      </c>
    </row>
    <row r="470" spans="1:44" x14ac:dyDescent="0.25">
      <c r="A470">
        <v>636</v>
      </c>
      <c r="B470" t="s">
        <v>626</v>
      </c>
      <c r="C470">
        <v>-29.45294393</v>
      </c>
      <c r="D470">
        <v>153.225729</v>
      </c>
      <c r="F470">
        <v>0</v>
      </c>
      <c r="G470">
        <v>0</v>
      </c>
      <c r="H470">
        <v>0</v>
      </c>
    </row>
    <row r="471" spans="1:44" x14ac:dyDescent="0.25">
      <c r="A471">
        <v>56</v>
      </c>
      <c r="B471" t="s">
        <v>27</v>
      </c>
      <c r="C471">
        <v>-29.4664</v>
      </c>
      <c r="D471">
        <v>153.20400000000001</v>
      </c>
      <c r="E471">
        <v>35867</v>
      </c>
      <c r="F471">
        <v>9281</v>
      </c>
      <c r="G471">
        <v>19592</v>
      </c>
      <c r="H471">
        <v>7192</v>
      </c>
      <c r="I471">
        <v>3884</v>
      </c>
      <c r="J471">
        <v>634</v>
      </c>
      <c r="K471">
        <v>4275</v>
      </c>
      <c r="L471">
        <v>6386</v>
      </c>
      <c r="M471">
        <v>92083</v>
      </c>
      <c r="N471">
        <v>96222</v>
      </c>
      <c r="O471">
        <v>12950</v>
      </c>
      <c r="P471">
        <v>10117</v>
      </c>
      <c r="Q471">
        <v>45000</v>
      </c>
      <c r="R471">
        <v>11525</v>
      </c>
      <c r="S471">
        <v>10116</v>
      </c>
      <c r="T471">
        <v>31556</v>
      </c>
      <c r="U471">
        <v>13493</v>
      </c>
      <c r="V471">
        <v>61200</v>
      </c>
      <c r="W471">
        <v>5200</v>
      </c>
      <c r="X471">
        <v>19547</v>
      </c>
      <c r="Y471">
        <v>69450</v>
      </c>
      <c r="Z471">
        <v>26450</v>
      </c>
      <c r="AA471">
        <v>49980</v>
      </c>
      <c r="AB471">
        <v>52300</v>
      </c>
      <c r="AC471">
        <v>65000</v>
      </c>
      <c r="AD471">
        <v>8900</v>
      </c>
      <c r="AE471">
        <v>36950</v>
      </c>
      <c r="AF471">
        <v>14432</v>
      </c>
      <c r="AG471">
        <v>10775</v>
      </c>
      <c r="AH471">
        <v>8612</v>
      </c>
      <c r="AK471">
        <v>12187</v>
      </c>
      <c r="AP471">
        <v>131498</v>
      </c>
      <c r="AQ471">
        <v>23358</v>
      </c>
      <c r="AR471">
        <v>20939</v>
      </c>
    </row>
    <row r="472" spans="1:44" x14ac:dyDescent="0.25">
      <c r="A472">
        <v>54</v>
      </c>
      <c r="B472" t="s">
        <v>627</v>
      </c>
      <c r="C472">
        <v>-29.483238020000002</v>
      </c>
      <c r="D472">
        <v>153.07946430000001</v>
      </c>
      <c r="F472">
        <v>0</v>
      </c>
      <c r="G472">
        <v>0</v>
      </c>
      <c r="I472">
        <v>0</v>
      </c>
      <c r="AR472">
        <v>0</v>
      </c>
    </row>
    <row r="473" spans="1:44" x14ac:dyDescent="0.25">
      <c r="A473">
        <v>498</v>
      </c>
      <c r="B473" t="s">
        <v>383</v>
      </c>
      <c r="C473">
        <v>-29.5855</v>
      </c>
      <c r="D473">
        <v>152.77529999999999</v>
      </c>
      <c r="E473">
        <v>4800</v>
      </c>
      <c r="F473">
        <v>2800</v>
      </c>
      <c r="G473">
        <v>0</v>
      </c>
      <c r="H473">
        <v>0</v>
      </c>
      <c r="I473">
        <v>0</v>
      </c>
      <c r="N473">
        <v>0</v>
      </c>
      <c r="O473">
        <v>0</v>
      </c>
      <c r="Z473">
        <v>0</v>
      </c>
      <c r="AH473">
        <v>555</v>
      </c>
      <c r="AP473">
        <v>4766</v>
      </c>
      <c r="AR473">
        <v>0</v>
      </c>
    </row>
    <row r="474" spans="1:44" x14ac:dyDescent="0.25">
      <c r="A474">
        <v>83</v>
      </c>
      <c r="B474" t="s">
        <v>628</v>
      </c>
      <c r="C474">
        <v>-29.66533798</v>
      </c>
      <c r="D474">
        <v>153.31765239999999</v>
      </c>
      <c r="F474">
        <v>0</v>
      </c>
      <c r="G474">
        <v>0</v>
      </c>
      <c r="J474">
        <v>0</v>
      </c>
      <c r="L474">
        <v>0</v>
      </c>
      <c r="M474">
        <v>0</v>
      </c>
      <c r="N474">
        <v>0</v>
      </c>
      <c r="O474">
        <v>0</v>
      </c>
      <c r="S474">
        <v>0</v>
      </c>
    </row>
    <row r="475" spans="1:44" x14ac:dyDescent="0.25">
      <c r="A475">
        <v>1293</v>
      </c>
      <c r="B475" t="s">
        <v>836</v>
      </c>
      <c r="C475">
        <v>-29.678619999999999</v>
      </c>
      <c r="D475">
        <v>152.9135</v>
      </c>
      <c r="AR475">
        <v>50</v>
      </c>
    </row>
    <row r="476" spans="1:44" x14ac:dyDescent="0.25">
      <c r="A476">
        <v>710</v>
      </c>
      <c r="B476" t="s">
        <v>629</v>
      </c>
      <c r="C476">
        <v>-29.680499999999999</v>
      </c>
      <c r="D476">
        <v>150.93520000000001</v>
      </c>
      <c r="H476">
        <v>0</v>
      </c>
      <c r="I476">
        <v>0</v>
      </c>
      <c r="J476">
        <v>0</v>
      </c>
      <c r="L476">
        <v>0</v>
      </c>
    </row>
    <row r="477" spans="1:44" x14ac:dyDescent="0.25">
      <c r="A477">
        <v>87</v>
      </c>
      <c r="B477" t="s">
        <v>28</v>
      </c>
      <c r="C477">
        <v>-29.682027250000001</v>
      </c>
      <c r="D477">
        <v>152.91400479999999</v>
      </c>
      <c r="E477">
        <v>0</v>
      </c>
      <c r="F477">
        <v>12313</v>
      </c>
      <c r="G477">
        <v>120</v>
      </c>
      <c r="H477">
        <v>3050</v>
      </c>
      <c r="I477">
        <v>0</v>
      </c>
      <c r="J477">
        <v>104</v>
      </c>
      <c r="K477">
        <v>0</v>
      </c>
      <c r="L477">
        <v>600</v>
      </c>
      <c r="N477">
        <v>3808</v>
      </c>
      <c r="O477">
        <v>0</v>
      </c>
      <c r="P477">
        <v>705</v>
      </c>
      <c r="Q477">
        <v>5500</v>
      </c>
      <c r="R477">
        <v>49231</v>
      </c>
      <c r="S477">
        <v>0</v>
      </c>
      <c r="T477">
        <v>57</v>
      </c>
      <c r="U477">
        <v>900</v>
      </c>
      <c r="V477">
        <v>930</v>
      </c>
      <c r="W477">
        <v>0</v>
      </c>
      <c r="Y477">
        <v>15426</v>
      </c>
      <c r="AE477">
        <v>5000</v>
      </c>
      <c r="AH477">
        <v>50</v>
      </c>
      <c r="AQ477">
        <v>0</v>
      </c>
      <c r="AR477">
        <v>0</v>
      </c>
    </row>
    <row r="478" spans="1:44" x14ac:dyDescent="0.25">
      <c r="A478">
        <v>1260</v>
      </c>
      <c r="B478" t="s">
        <v>811</v>
      </c>
      <c r="C478">
        <v>-29.688369999999999</v>
      </c>
      <c r="D478">
        <v>152.92654999999999</v>
      </c>
      <c r="AP478">
        <v>1000</v>
      </c>
      <c r="AQ478">
        <v>0</v>
      </c>
      <c r="AR478">
        <v>0</v>
      </c>
    </row>
    <row r="479" spans="1:44" x14ac:dyDescent="0.25">
      <c r="A479">
        <v>720</v>
      </c>
      <c r="B479" t="s">
        <v>384</v>
      </c>
      <c r="C479">
        <v>-29.757446000000002</v>
      </c>
      <c r="D479">
        <v>151.0402</v>
      </c>
      <c r="H479">
        <v>26757</v>
      </c>
      <c r="I479">
        <v>0</v>
      </c>
      <c r="J479">
        <v>0</v>
      </c>
      <c r="K479">
        <v>0</v>
      </c>
      <c r="L479">
        <v>0</v>
      </c>
      <c r="M479">
        <v>0</v>
      </c>
      <c r="O479">
        <v>0</v>
      </c>
      <c r="P479">
        <v>0</v>
      </c>
      <c r="Q479">
        <v>0</v>
      </c>
    </row>
    <row r="480" spans="1:44" x14ac:dyDescent="0.25">
      <c r="A480">
        <v>242</v>
      </c>
      <c r="B480" t="s">
        <v>630</v>
      </c>
      <c r="C480">
        <v>-29.762352079999999</v>
      </c>
      <c r="D480">
        <v>153.0202176</v>
      </c>
      <c r="F480">
        <v>0</v>
      </c>
    </row>
    <row r="481" spans="1:44" x14ac:dyDescent="0.25">
      <c r="A481">
        <v>106</v>
      </c>
      <c r="B481" t="s">
        <v>631</v>
      </c>
      <c r="C481">
        <v>-29.778600449999999</v>
      </c>
      <c r="D481">
        <v>152.62864930000001</v>
      </c>
      <c r="F481">
        <v>0</v>
      </c>
      <c r="AA481">
        <v>0</v>
      </c>
      <c r="AE481">
        <v>0</v>
      </c>
    </row>
    <row r="482" spans="1:44" x14ac:dyDescent="0.25">
      <c r="A482">
        <v>614</v>
      </c>
      <c r="B482" t="s">
        <v>632</v>
      </c>
      <c r="C482">
        <v>-29.783999999999999</v>
      </c>
      <c r="D482">
        <v>151.12700000000001</v>
      </c>
      <c r="F482">
        <v>0</v>
      </c>
      <c r="G482">
        <v>0</v>
      </c>
      <c r="H482">
        <v>0</v>
      </c>
      <c r="I482">
        <v>0</v>
      </c>
      <c r="K482">
        <v>0</v>
      </c>
      <c r="L482">
        <v>0</v>
      </c>
      <c r="M482">
        <v>0</v>
      </c>
      <c r="O482">
        <v>0</v>
      </c>
    </row>
    <row r="483" spans="1:44" x14ac:dyDescent="0.25">
      <c r="A483">
        <v>830</v>
      </c>
      <c r="B483" t="s">
        <v>633</v>
      </c>
      <c r="C483">
        <v>-29.79</v>
      </c>
      <c r="D483">
        <v>153.011</v>
      </c>
      <c r="O483">
        <v>0</v>
      </c>
    </row>
    <row r="484" spans="1:44" x14ac:dyDescent="0.25">
      <c r="A484">
        <v>82</v>
      </c>
      <c r="B484" t="s">
        <v>634</v>
      </c>
      <c r="C484">
        <v>-29.796692499999999</v>
      </c>
      <c r="D484">
        <v>152.64410319999999</v>
      </c>
      <c r="F484">
        <v>0</v>
      </c>
      <c r="I484">
        <v>0</v>
      </c>
      <c r="AA484">
        <v>0</v>
      </c>
      <c r="AE484">
        <v>0</v>
      </c>
    </row>
    <row r="485" spans="1:44" x14ac:dyDescent="0.25">
      <c r="A485">
        <v>100</v>
      </c>
      <c r="B485" t="s">
        <v>635</v>
      </c>
      <c r="C485">
        <v>-29.858431169999999</v>
      </c>
      <c r="D485">
        <v>153.2630235</v>
      </c>
      <c r="F485">
        <v>0</v>
      </c>
      <c r="G485">
        <v>0</v>
      </c>
      <c r="H485">
        <v>0</v>
      </c>
      <c r="I485">
        <v>0</v>
      </c>
    </row>
    <row r="486" spans="1:44" x14ac:dyDescent="0.25">
      <c r="A486">
        <v>95</v>
      </c>
      <c r="B486" t="s">
        <v>636</v>
      </c>
      <c r="C486">
        <v>-29.859793159999999</v>
      </c>
      <c r="D486">
        <v>153.2137693</v>
      </c>
      <c r="F486">
        <v>0</v>
      </c>
      <c r="H486">
        <v>0</v>
      </c>
      <c r="I486">
        <v>0</v>
      </c>
    </row>
    <row r="487" spans="1:44" x14ac:dyDescent="0.25">
      <c r="A487">
        <v>76</v>
      </c>
      <c r="B487" t="s">
        <v>385</v>
      </c>
      <c r="C487">
        <v>-29.9374</v>
      </c>
      <c r="D487">
        <v>152.72540000000001</v>
      </c>
      <c r="F487">
        <v>0</v>
      </c>
      <c r="U487">
        <v>2000</v>
      </c>
      <c r="AA487">
        <v>0</v>
      </c>
      <c r="AE487">
        <v>0</v>
      </c>
      <c r="AH487">
        <v>0</v>
      </c>
      <c r="AR487">
        <v>0</v>
      </c>
    </row>
    <row r="488" spans="1:44" x14ac:dyDescent="0.25">
      <c r="A488">
        <v>501</v>
      </c>
      <c r="B488" t="s">
        <v>29</v>
      </c>
      <c r="C488">
        <v>-30.0535</v>
      </c>
      <c r="D488">
        <v>152.98050000000001</v>
      </c>
      <c r="E488">
        <v>7500</v>
      </c>
      <c r="F488">
        <v>11694</v>
      </c>
      <c r="G488">
        <v>0</v>
      </c>
      <c r="H488">
        <v>0</v>
      </c>
      <c r="I488">
        <v>1605</v>
      </c>
      <c r="J488">
        <v>990</v>
      </c>
      <c r="K488">
        <v>630</v>
      </c>
      <c r="O488">
        <v>0</v>
      </c>
      <c r="P488">
        <v>450</v>
      </c>
      <c r="Q488">
        <v>41614</v>
      </c>
      <c r="R488">
        <v>40000</v>
      </c>
      <c r="S488">
        <v>0</v>
      </c>
      <c r="T488">
        <v>0</v>
      </c>
      <c r="U488">
        <v>29877</v>
      </c>
      <c r="V488">
        <v>25000</v>
      </c>
      <c r="W488">
        <v>0</v>
      </c>
      <c r="X488">
        <v>0</v>
      </c>
      <c r="Y488">
        <v>8400</v>
      </c>
      <c r="Z488">
        <v>5850</v>
      </c>
      <c r="AA488">
        <v>3200</v>
      </c>
      <c r="AB488">
        <v>0</v>
      </c>
      <c r="AC488">
        <v>18000</v>
      </c>
      <c r="AD488">
        <v>11500</v>
      </c>
      <c r="AE488">
        <v>0</v>
      </c>
      <c r="AF488">
        <v>0</v>
      </c>
      <c r="AG488">
        <v>0</v>
      </c>
      <c r="AH488">
        <v>13972</v>
      </c>
      <c r="AK488">
        <v>10640</v>
      </c>
      <c r="AP488">
        <v>15841</v>
      </c>
      <c r="AQ488">
        <v>0</v>
      </c>
      <c r="AR488">
        <v>0</v>
      </c>
    </row>
    <row r="489" spans="1:44" x14ac:dyDescent="0.25">
      <c r="A489">
        <v>8</v>
      </c>
      <c r="B489" t="s">
        <v>637</v>
      </c>
      <c r="C489">
        <v>-30.092527069999999</v>
      </c>
      <c r="D489">
        <v>153.11869039999999</v>
      </c>
      <c r="E489">
        <v>0</v>
      </c>
      <c r="F489">
        <v>0</v>
      </c>
      <c r="G489">
        <v>0</v>
      </c>
      <c r="H489">
        <v>0</v>
      </c>
      <c r="I489">
        <v>0</v>
      </c>
      <c r="M489">
        <v>0</v>
      </c>
      <c r="N489">
        <v>0</v>
      </c>
    </row>
    <row r="490" spans="1:44" x14ac:dyDescent="0.25">
      <c r="A490">
        <v>127</v>
      </c>
      <c r="B490" t="s">
        <v>30</v>
      </c>
      <c r="C490">
        <v>-30.103878859999998</v>
      </c>
      <c r="D490">
        <v>153.19764470000001</v>
      </c>
      <c r="E490">
        <v>24122</v>
      </c>
      <c r="F490">
        <v>7933</v>
      </c>
      <c r="G490">
        <v>14534</v>
      </c>
      <c r="H490">
        <v>2576</v>
      </c>
      <c r="I490">
        <v>3800</v>
      </c>
      <c r="J490">
        <v>1092</v>
      </c>
      <c r="K490">
        <v>6000</v>
      </c>
      <c r="M490">
        <v>26405</v>
      </c>
      <c r="O490">
        <v>10000</v>
      </c>
      <c r="P490">
        <v>8000</v>
      </c>
      <c r="Q490">
        <v>4669</v>
      </c>
      <c r="R490">
        <v>888</v>
      </c>
      <c r="S490">
        <v>16480</v>
      </c>
      <c r="T490">
        <v>0</v>
      </c>
      <c r="U490">
        <v>12010</v>
      </c>
      <c r="V490">
        <v>2304</v>
      </c>
      <c r="W490">
        <v>12224</v>
      </c>
      <c r="X490">
        <v>14905</v>
      </c>
      <c r="Y490">
        <v>6300</v>
      </c>
      <c r="Z490">
        <v>11640</v>
      </c>
      <c r="AA490">
        <v>7259</v>
      </c>
      <c r="AB490">
        <v>0</v>
      </c>
      <c r="AC490">
        <v>23700</v>
      </c>
      <c r="AD490">
        <v>9000</v>
      </c>
      <c r="AE490">
        <v>45487</v>
      </c>
      <c r="AF490">
        <v>19200</v>
      </c>
      <c r="AG490">
        <v>14117</v>
      </c>
      <c r="AH490">
        <v>9505</v>
      </c>
      <c r="AK490">
        <v>10977</v>
      </c>
      <c r="AO490">
        <v>280</v>
      </c>
      <c r="AP490">
        <v>16373</v>
      </c>
      <c r="AQ490">
        <v>19347</v>
      </c>
      <c r="AR490">
        <v>3650</v>
      </c>
    </row>
    <row r="491" spans="1:44" x14ac:dyDescent="0.25">
      <c r="A491">
        <v>1210</v>
      </c>
      <c r="B491" t="s">
        <v>812</v>
      </c>
      <c r="C491">
        <v>-30.136199999999999</v>
      </c>
      <c r="D491">
        <v>153.00710000000001</v>
      </c>
      <c r="AP491">
        <v>0</v>
      </c>
      <c r="AQ491">
        <v>0</v>
      </c>
      <c r="AR491">
        <v>0</v>
      </c>
    </row>
    <row r="492" spans="1:44" x14ac:dyDescent="0.25">
      <c r="A492">
        <v>129</v>
      </c>
      <c r="B492" t="s">
        <v>638</v>
      </c>
      <c r="C492">
        <v>-30.15124346</v>
      </c>
      <c r="D492">
        <v>153.1945096</v>
      </c>
      <c r="E492">
        <v>0</v>
      </c>
      <c r="F492">
        <v>0</v>
      </c>
      <c r="G492">
        <v>0</v>
      </c>
    </row>
    <row r="493" spans="1:44" x14ac:dyDescent="0.25">
      <c r="A493">
        <v>64</v>
      </c>
      <c r="B493" t="s">
        <v>639</v>
      </c>
      <c r="C493">
        <v>-30.198827139999999</v>
      </c>
      <c r="D493">
        <v>153.01908030000001</v>
      </c>
      <c r="F493">
        <v>0</v>
      </c>
      <c r="G493">
        <v>0</v>
      </c>
      <c r="AH493">
        <v>663</v>
      </c>
      <c r="AK493">
        <v>0</v>
      </c>
      <c r="AP493">
        <v>0</v>
      </c>
    </row>
    <row r="494" spans="1:44" x14ac:dyDescent="0.25">
      <c r="A494">
        <v>65</v>
      </c>
      <c r="B494" t="s">
        <v>640</v>
      </c>
      <c r="C494">
        <v>-30.212366079999999</v>
      </c>
      <c r="D494">
        <v>153.15287050000001</v>
      </c>
      <c r="E494">
        <v>0</v>
      </c>
      <c r="F494">
        <v>0</v>
      </c>
      <c r="G494">
        <v>0</v>
      </c>
      <c r="H494">
        <v>0</v>
      </c>
      <c r="AG494">
        <v>0</v>
      </c>
    </row>
    <row r="495" spans="1:44" x14ac:dyDescent="0.25">
      <c r="A495">
        <v>23</v>
      </c>
      <c r="B495" t="s">
        <v>641</v>
      </c>
      <c r="C495">
        <v>-30.24329517</v>
      </c>
      <c r="D495">
        <v>153.08522600000001</v>
      </c>
      <c r="F495">
        <v>0</v>
      </c>
      <c r="G495">
        <v>0</v>
      </c>
    </row>
    <row r="496" spans="1:44" x14ac:dyDescent="0.25">
      <c r="A496">
        <v>226</v>
      </c>
      <c r="B496" t="s">
        <v>642</v>
      </c>
      <c r="C496">
        <v>-30.28568516</v>
      </c>
      <c r="D496">
        <v>151.20234669999999</v>
      </c>
      <c r="F496">
        <v>0</v>
      </c>
      <c r="G496">
        <v>0</v>
      </c>
      <c r="H496">
        <v>0</v>
      </c>
      <c r="I496">
        <v>0</v>
      </c>
      <c r="J496">
        <v>0</v>
      </c>
      <c r="L496">
        <v>0</v>
      </c>
    </row>
    <row r="497" spans="1:44" x14ac:dyDescent="0.25">
      <c r="A497">
        <v>29</v>
      </c>
      <c r="B497" t="s">
        <v>169</v>
      </c>
      <c r="C497">
        <v>-30.288065</v>
      </c>
      <c r="D497">
        <v>153.1027842</v>
      </c>
      <c r="E497">
        <v>4152</v>
      </c>
      <c r="F497">
        <v>2376</v>
      </c>
      <c r="G497">
        <v>0</v>
      </c>
      <c r="H497">
        <v>151</v>
      </c>
      <c r="I497">
        <v>1104</v>
      </c>
      <c r="J497">
        <v>309</v>
      </c>
      <c r="K497">
        <v>384</v>
      </c>
      <c r="P497">
        <v>0</v>
      </c>
      <c r="T497">
        <v>350</v>
      </c>
      <c r="V497">
        <v>1900</v>
      </c>
      <c r="AE497">
        <v>2120</v>
      </c>
      <c r="AG497">
        <v>8992</v>
      </c>
      <c r="AH497">
        <v>1958</v>
      </c>
      <c r="AK497">
        <v>3988</v>
      </c>
      <c r="AO497">
        <v>0</v>
      </c>
      <c r="AP497">
        <v>0</v>
      </c>
      <c r="AQ497">
        <v>0</v>
      </c>
      <c r="AR497">
        <v>0</v>
      </c>
    </row>
    <row r="498" spans="1:44" x14ac:dyDescent="0.25">
      <c r="A498">
        <v>924</v>
      </c>
      <c r="B498" t="s">
        <v>386</v>
      </c>
      <c r="C498">
        <v>-30.319099999999999</v>
      </c>
      <c r="D498">
        <v>149.779</v>
      </c>
      <c r="AC498">
        <v>0</v>
      </c>
      <c r="AD498">
        <v>0</v>
      </c>
    </row>
    <row r="499" spans="1:44" x14ac:dyDescent="0.25">
      <c r="A499">
        <v>40</v>
      </c>
      <c r="B499" t="s">
        <v>643</v>
      </c>
      <c r="C499">
        <v>-30.324182260000001</v>
      </c>
      <c r="D499">
        <v>153.07182320000001</v>
      </c>
      <c r="E499">
        <v>0</v>
      </c>
      <c r="F499">
        <v>0</v>
      </c>
      <c r="G499">
        <v>0</v>
      </c>
      <c r="H499">
        <v>0</v>
      </c>
      <c r="AH499">
        <v>0</v>
      </c>
    </row>
    <row r="500" spans="1:44" x14ac:dyDescent="0.25">
      <c r="A500">
        <v>631</v>
      </c>
      <c r="B500" t="s">
        <v>170</v>
      </c>
      <c r="C500">
        <v>-30.349375040000002</v>
      </c>
      <c r="D500">
        <v>153.09196729999999</v>
      </c>
      <c r="G500">
        <v>11488</v>
      </c>
      <c r="H500">
        <v>0</v>
      </c>
      <c r="I500">
        <v>2678</v>
      </c>
      <c r="J500">
        <v>3500</v>
      </c>
      <c r="K500">
        <v>400</v>
      </c>
      <c r="M500">
        <v>2212</v>
      </c>
      <c r="O500">
        <v>2546</v>
      </c>
      <c r="P500">
        <v>0</v>
      </c>
      <c r="Q500">
        <v>1966</v>
      </c>
      <c r="R500">
        <v>3014</v>
      </c>
      <c r="S500">
        <v>10000</v>
      </c>
      <c r="T500">
        <v>0</v>
      </c>
      <c r="U500">
        <v>15174</v>
      </c>
      <c r="V500">
        <v>16300</v>
      </c>
      <c r="W500">
        <v>7133</v>
      </c>
      <c r="X500">
        <v>0</v>
      </c>
      <c r="Z500">
        <v>4134</v>
      </c>
      <c r="AA500">
        <v>1860</v>
      </c>
      <c r="AB500">
        <v>0</v>
      </c>
      <c r="AC500">
        <v>23000</v>
      </c>
      <c r="AD500">
        <v>6000</v>
      </c>
      <c r="AE500">
        <v>1459</v>
      </c>
      <c r="AG500">
        <v>22469</v>
      </c>
      <c r="AH500">
        <v>14454</v>
      </c>
      <c r="AK500">
        <v>9975</v>
      </c>
      <c r="AO500">
        <v>712</v>
      </c>
      <c r="AP500">
        <v>5000</v>
      </c>
      <c r="AQ500">
        <v>7680</v>
      </c>
      <c r="AR500">
        <v>0</v>
      </c>
    </row>
    <row r="501" spans="1:44" x14ac:dyDescent="0.25">
      <c r="A501">
        <v>836</v>
      </c>
      <c r="B501" t="s">
        <v>644</v>
      </c>
      <c r="C501">
        <v>-30.3825</v>
      </c>
      <c r="D501">
        <v>150.61279999999999</v>
      </c>
      <c r="AQ501">
        <v>215</v>
      </c>
      <c r="AR501">
        <v>0</v>
      </c>
    </row>
    <row r="502" spans="1:44" x14ac:dyDescent="0.25">
      <c r="A502">
        <v>16</v>
      </c>
      <c r="B502" t="s">
        <v>645</v>
      </c>
      <c r="C502">
        <v>-30.38374121</v>
      </c>
      <c r="D502">
        <v>153.07186669999999</v>
      </c>
      <c r="F502">
        <v>0</v>
      </c>
      <c r="G502">
        <v>0</v>
      </c>
    </row>
    <row r="503" spans="1:44" x14ac:dyDescent="0.25">
      <c r="A503">
        <v>81</v>
      </c>
      <c r="B503" t="s">
        <v>646</v>
      </c>
      <c r="C503">
        <v>-30.40708747</v>
      </c>
      <c r="D503">
        <v>152.99717860000001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44" x14ac:dyDescent="0.25">
      <c r="A504">
        <v>629</v>
      </c>
      <c r="B504" t="s">
        <v>171</v>
      </c>
      <c r="C504">
        <v>-30.431999999999999</v>
      </c>
      <c r="D504">
        <v>152.72200000000001</v>
      </c>
      <c r="G504">
        <v>3655</v>
      </c>
      <c r="H504">
        <v>0</v>
      </c>
      <c r="I504">
        <v>700</v>
      </c>
      <c r="J504">
        <v>1600</v>
      </c>
      <c r="K504">
        <v>300</v>
      </c>
      <c r="L504">
        <v>32</v>
      </c>
      <c r="M504">
        <v>505</v>
      </c>
      <c r="N504">
        <v>550</v>
      </c>
      <c r="O504">
        <v>1150</v>
      </c>
      <c r="P504">
        <v>650</v>
      </c>
      <c r="Q504">
        <v>700</v>
      </c>
      <c r="R504">
        <v>2392</v>
      </c>
      <c r="S504">
        <v>400</v>
      </c>
      <c r="T504">
        <v>0</v>
      </c>
      <c r="U504">
        <v>800</v>
      </c>
      <c r="V504">
        <v>450</v>
      </c>
      <c r="W504">
        <v>250</v>
      </c>
      <c r="X504">
        <v>0</v>
      </c>
      <c r="Z504">
        <v>1000</v>
      </c>
      <c r="AA504">
        <v>950</v>
      </c>
      <c r="AB504">
        <v>0</v>
      </c>
      <c r="AC504">
        <v>160</v>
      </c>
      <c r="AD504">
        <v>4050</v>
      </c>
      <c r="AE504">
        <v>0</v>
      </c>
      <c r="AF504">
        <v>0</v>
      </c>
      <c r="AG504">
        <v>1500</v>
      </c>
      <c r="AH504">
        <v>4002</v>
      </c>
      <c r="AK504">
        <v>820</v>
      </c>
      <c r="AO504">
        <v>400</v>
      </c>
      <c r="AP504">
        <v>1067</v>
      </c>
      <c r="AQ504">
        <v>400</v>
      </c>
      <c r="AR504">
        <v>0</v>
      </c>
    </row>
    <row r="505" spans="1:44" x14ac:dyDescent="0.25">
      <c r="A505">
        <v>10</v>
      </c>
      <c r="B505" t="s">
        <v>31</v>
      </c>
      <c r="C505">
        <v>-30.448</v>
      </c>
      <c r="D505">
        <v>152.89609999999999</v>
      </c>
      <c r="E505">
        <v>15243</v>
      </c>
      <c r="F505">
        <v>42832</v>
      </c>
      <c r="G505">
        <v>7295</v>
      </c>
      <c r="H505">
        <v>2190</v>
      </c>
      <c r="I505">
        <v>26672</v>
      </c>
      <c r="J505">
        <v>21201</v>
      </c>
      <c r="K505">
        <v>218</v>
      </c>
      <c r="L505">
        <v>960</v>
      </c>
      <c r="M505">
        <v>14655</v>
      </c>
      <c r="N505">
        <v>3998</v>
      </c>
      <c r="O505">
        <v>0</v>
      </c>
      <c r="P505">
        <v>8753</v>
      </c>
      <c r="Q505">
        <v>11105</v>
      </c>
      <c r="R505">
        <v>39049</v>
      </c>
      <c r="S505">
        <v>24400</v>
      </c>
      <c r="T505">
        <v>17793</v>
      </c>
      <c r="U505">
        <v>24165</v>
      </c>
      <c r="V505">
        <v>36190</v>
      </c>
      <c r="W505">
        <v>14335</v>
      </c>
      <c r="X505">
        <v>40994</v>
      </c>
      <c r="Y505">
        <v>25000</v>
      </c>
      <c r="Z505">
        <v>67922</v>
      </c>
      <c r="AA505">
        <v>13907</v>
      </c>
      <c r="AB505">
        <v>15578</v>
      </c>
      <c r="AC505">
        <v>35000</v>
      </c>
      <c r="AD505">
        <v>68173</v>
      </c>
      <c r="AE505">
        <v>21497</v>
      </c>
      <c r="AF505">
        <v>7200</v>
      </c>
      <c r="AG505">
        <v>24000</v>
      </c>
      <c r="AH505">
        <v>16867</v>
      </c>
      <c r="AK505">
        <v>45348</v>
      </c>
      <c r="AO505">
        <v>18316</v>
      </c>
      <c r="AP505">
        <v>500</v>
      </c>
      <c r="AQ505">
        <v>2500</v>
      </c>
      <c r="AR505">
        <v>0</v>
      </c>
    </row>
    <row r="506" spans="1:44" x14ac:dyDescent="0.25">
      <c r="A506">
        <v>783</v>
      </c>
      <c r="B506" t="s">
        <v>387</v>
      </c>
      <c r="C506">
        <v>-30.448399999999999</v>
      </c>
      <c r="D506">
        <v>152.90379999999999</v>
      </c>
      <c r="J506">
        <v>53364</v>
      </c>
      <c r="K506">
        <v>23854</v>
      </c>
      <c r="M506">
        <v>0</v>
      </c>
      <c r="N506">
        <v>0</v>
      </c>
      <c r="O506">
        <v>18082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Z506">
        <v>0</v>
      </c>
      <c r="AA506">
        <v>0</v>
      </c>
      <c r="AB506">
        <v>0</v>
      </c>
      <c r="AE506">
        <v>0</v>
      </c>
      <c r="AF506">
        <v>0</v>
      </c>
      <c r="AH506">
        <v>0</v>
      </c>
      <c r="AK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5">
      <c r="A507">
        <v>624</v>
      </c>
      <c r="B507" t="s">
        <v>388</v>
      </c>
      <c r="C507">
        <v>-30.459</v>
      </c>
      <c r="D507">
        <v>153.00299999999999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30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V507">
        <v>0</v>
      </c>
      <c r="W507">
        <v>0</v>
      </c>
      <c r="X507">
        <v>0</v>
      </c>
      <c r="Z507">
        <v>0</v>
      </c>
      <c r="AA507">
        <v>0</v>
      </c>
      <c r="AB507">
        <v>0</v>
      </c>
      <c r="AE507">
        <v>0</v>
      </c>
      <c r="AF507">
        <v>0</v>
      </c>
      <c r="AH507">
        <v>0</v>
      </c>
      <c r="AO507">
        <v>0</v>
      </c>
      <c r="AQ507">
        <v>0</v>
      </c>
      <c r="AR507">
        <v>0</v>
      </c>
    </row>
    <row r="508" spans="1:44" x14ac:dyDescent="0.25">
      <c r="A508">
        <v>265</v>
      </c>
      <c r="B508" t="s">
        <v>647</v>
      </c>
      <c r="C508">
        <v>-30.465036820000002</v>
      </c>
      <c r="D508">
        <v>151.32403880000001</v>
      </c>
      <c r="F508">
        <v>0</v>
      </c>
      <c r="G508">
        <v>0</v>
      </c>
      <c r="H508">
        <v>0</v>
      </c>
      <c r="I508">
        <v>0</v>
      </c>
      <c r="J508">
        <v>0</v>
      </c>
      <c r="L508">
        <v>0</v>
      </c>
    </row>
    <row r="509" spans="1:44" x14ac:dyDescent="0.25">
      <c r="A509">
        <v>633</v>
      </c>
      <c r="B509" t="s">
        <v>648</v>
      </c>
      <c r="C509">
        <v>-30.486000000000001</v>
      </c>
      <c r="D509">
        <v>153.018</v>
      </c>
      <c r="G509">
        <v>0</v>
      </c>
      <c r="H509">
        <v>0</v>
      </c>
      <c r="I509">
        <v>0</v>
      </c>
      <c r="J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V509">
        <v>0</v>
      </c>
      <c r="W509">
        <v>0</v>
      </c>
      <c r="X509">
        <v>0</v>
      </c>
      <c r="Z509">
        <v>0</v>
      </c>
      <c r="AA509">
        <v>0</v>
      </c>
      <c r="AB509">
        <v>0</v>
      </c>
      <c r="AE509">
        <v>0</v>
      </c>
      <c r="AF509">
        <v>0</v>
      </c>
      <c r="AH509">
        <v>0</v>
      </c>
      <c r="AQ509">
        <v>0</v>
      </c>
      <c r="AR509">
        <v>0</v>
      </c>
    </row>
    <row r="510" spans="1:44" x14ac:dyDescent="0.25">
      <c r="A510">
        <v>623</v>
      </c>
      <c r="B510" t="s">
        <v>389</v>
      </c>
      <c r="C510">
        <v>-30.492000000000001</v>
      </c>
      <c r="D510">
        <v>153.011</v>
      </c>
      <c r="G510">
        <v>669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1650</v>
      </c>
      <c r="O510">
        <v>450</v>
      </c>
      <c r="P510">
        <v>0</v>
      </c>
      <c r="Q510">
        <v>0</v>
      </c>
      <c r="R510">
        <v>0</v>
      </c>
      <c r="S510">
        <v>0</v>
      </c>
      <c r="U510">
        <v>0</v>
      </c>
      <c r="V510">
        <v>0</v>
      </c>
      <c r="AE510">
        <v>0</v>
      </c>
      <c r="AF510">
        <v>0</v>
      </c>
      <c r="AH510">
        <v>0</v>
      </c>
      <c r="AO510">
        <v>0</v>
      </c>
      <c r="AQ510">
        <v>0</v>
      </c>
      <c r="AR510">
        <v>0</v>
      </c>
    </row>
    <row r="511" spans="1:44" x14ac:dyDescent="0.25">
      <c r="A511">
        <v>126</v>
      </c>
      <c r="B511" t="s">
        <v>390</v>
      </c>
      <c r="C511">
        <v>-30.493843250000001</v>
      </c>
      <c r="D511">
        <v>153.0175433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U511">
        <v>0</v>
      </c>
      <c r="V511">
        <v>0</v>
      </c>
      <c r="W511">
        <v>0</v>
      </c>
      <c r="X511">
        <v>0</v>
      </c>
      <c r="Z511">
        <v>0</v>
      </c>
      <c r="AA511">
        <v>0</v>
      </c>
      <c r="AB511">
        <v>0</v>
      </c>
      <c r="AE511">
        <v>0</v>
      </c>
      <c r="AF511">
        <v>0</v>
      </c>
      <c r="AH511">
        <v>0</v>
      </c>
      <c r="AQ511">
        <v>0</v>
      </c>
      <c r="AR511">
        <v>0</v>
      </c>
    </row>
    <row r="512" spans="1:44" x14ac:dyDescent="0.25">
      <c r="A512">
        <v>955</v>
      </c>
      <c r="B512" t="s">
        <v>172</v>
      </c>
      <c r="C512">
        <v>-30.526599999999998</v>
      </c>
      <c r="D512">
        <v>151.65440000000001</v>
      </c>
      <c r="Z512">
        <v>1039</v>
      </c>
      <c r="AA512">
        <v>0</v>
      </c>
      <c r="AD512">
        <v>0</v>
      </c>
      <c r="AE512">
        <v>0</v>
      </c>
      <c r="AF512">
        <v>0</v>
      </c>
      <c r="AH512">
        <v>0</v>
      </c>
      <c r="AR512">
        <v>0</v>
      </c>
    </row>
    <row r="513" spans="1:44" x14ac:dyDescent="0.25">
      <c r="A513">
        <v>523</v>
      </c>
      <c r="B513" t="s">
        <v>32</v>
      </c>
      <c r="C513">
        <v>-30.642900000000001</v>
      </c>
      <c r="D513">
        <v>153.00399999999999</v>
      </c>
      <c r="E513">
        <v>1100</v>
      </c>
      <c r="F513">
        <v>396</v>
      </c>
      <c r="G513">
        <v>1757</v>
      </c>
      <c r="H513">
        <v>1453</v>
      </c>
      <c r="I513">
        <v>1500</v>
      </c>
      <c r="J513">
        <v>1500</v>
      </c>
      <c r="K513">
        <v>7300</v>
      </c>
      <c r="L513">
        <v>1261</v>
      </c>
      <c r="N513">
        <v>2450</v>
      </c>
      <c r="O513">
        <v>1911</v>
      </c>
      <c r="P513">
        <v>7200</v>
      </c>
      <c r="R513">
        <v>1585</v>
      </c>
      <c r="S513">
        <v>17000</v>
      </c>
      <c r="T513">
        <v>3019</v>
      </c>
      <c r="U513">
        <v>3492</v>
      </c>
      <c r="V513">
        <v>1700</v>
      </c>
      <c r="W513">
        <v>4850</v>
      </c>
      <c r="X513">
        <v>14104</v>
      </c>
      <c r="Y513">
        <v>1500</v>
      </c>
      <c r="Z513">
        <v>4500</v>
      </c>
      <c r="AA513">
        <v>5740</v>
      </c>
      <c r="AB513">
        <v>9300</v>
      </c>
      <c r="AC513">
        <v>1600</v>
      </c>
      <c r="AD513">
        <v>3600</v>
      </c>
      <c r="AE513">
        <v>46137</v>
      </c>
      <c r="AF513">
        <v>32000</v>
      </c>
      <c r="AG513">
        <v>11480</v>
      </c>
      <c r="AH513">
        <v>0</v>
      </c>
      <c r="AK513">
        <v>8256</v>
      </c>
      <c r="AP513">
        <v>2957</v>
      </c>
      <c r="AQ513">
        <v>4350</v>
      </c>
      <c r="AR513">
        <v>6104</v>
      </c>
    </row>
    <row r="514" spans="1:44" x14ac:dyDescent="0.25">
      <c r="A514">
        <v>20</v>
      </c>
      <c r="B514" t="s">
        <v>391</v>
      </c>
      <c r="C514">
        <v>-30.64817356</v>
      </c>
      <c r="D514">
        <v>152.85855659999999</v>
      </c>
      <c r="E514">
        <v>0</v>
      </c>
      <c r="F514">
        <v>0</v>
      </c>
      <c r="G514">
        <v>0</v>
      </c>
      <c r="H514">
        <v>0</v>
      </c>
      <c r="I514">
        <v>600</v>
      </c>
      <c r="J514">
        <v>4500</v>
      </c>
      <c r="K514">
        <v>0</v>
      </c>
      <c r="L514">
        <v>0</v>
      </c>
      <c r="N514">
        <v>1600</v>
      </c>
      <c r="O514">
        <v>0</v>
      </c>
      <c r="R514">
        <v>0</v>
      </c>
      <c r="T514">
        <v>0</v>
      </c>
      <c r="AG514">
        <v>24000</v>
      </c>
      <c r="AH514">
        <v>4909</v>
      </c>
    </row>
    <row r="515" spans="1:44" x14ac:dyDescent="0.25">
      <c r="A515">
        <v>825</v>
      </c>
      <c r="B515" t="s">
        <v>649</v>
      </c>
      <c r="C515">
        <v>-30.717600000000001</v>
      </c>
      <c r="D515">
        <v>152.9177</v>
      </c>
      <c r="AK515">
        <v>6774</v>
      </c>
    </row>
    <row r="516" spans="1:44" x14ac:dyDescent="0.25">
      <c r="A516">
        <v>503</v>
      </c>
      <c r="B516" t="s">
        <v>33</v>
      </c>
      <c r="C516">
        <v>-30.726400000000002</v>
      </c>
      <c r="D516">
        <v>152.9263</v>
      </c>
      <c r="E516">
        <v>0</v>
      </c>
      <c r="F516">
        <v>0</v>
      </c>
      <c r="G516">
        <v>17750</v>
      </c>
      <c r="H516">
        <v>0</v>
      </c>
      <c r="I516">
        <v>0</v>
      </c>
      <c r="J516">
        <v>34500</v>
      </c>
      <c r="K516">
        <v>100</v>
      </c>
      <c r="L516">
        <v>0</v>
      </c>
      <c r="M516">
        <v>0</v>
      </c>
      <c r="N516">
        <v>0</v>
      </c>
      <c r="O516">
        <v>0</v>
      </c>
      <c r="P516">
        <v>0</v>
      </c>
      <c r="R516">
        <v>40000</v>
      </c>
      <c r="T516">
        <v>0</v>
      </c>
      <c r="U516">
        <v>0</v>
      </c>
      <c r="V516">
        <v>12000</v>
      </c>
      <c r="W516">
        <v>13500</v>
      </c>
      <c r="X516">
        <v>0</v>
      </c>
      <c r="Y516">
        <v>3633</v>
      </c>
      <c r="Z516">
        <v>12248</v>
      </c>
      <c r="AA516">
        <v>4250</v>
      </c>
      <c r="AB516">
        <v>0</v>
      </c>
      <c r="AC516">
        <v>28000</v>
      </c>
      <c r="AD516">
        <v>39135</v>
      </c>
      <c r="AE516">
        <v>50</v>
      </c>
      <c r="AF516">
        <v>0</v>
      </c>
      <c r="AG516">
        <v>150</v>
      </c>
      <c r="AH516">
        <v>0</v>
      </c>
      <c r="AP516">
        <v>0</v>
      </c>
      <c r="AR516">
        <v>0</v>
      </c>
    </row>
    <row r="517" spans="1:44" x14ac:dyDescent="0.25">
      <c r="A517">
        <v>1288</v>
      </c>
      <c r="B517" t="s">
        <v>837</v>
      </c>
      <c r="C517">
        <v>-30.754300000000001</v>
      </c>
      <c r="D517">
        <v>150.71639999999999</v>
      </c>
      <c r="AQ517">
        <v>3100</v>
      </c>
      <c r="AR517">
        <v>0</v>
      </c>
    </row>
    <row r="518" spans="1:44" x14ac:dyDescent="0.25">
      <c r="A518">
        <v>244</v>
      </c>
      <c r="B518" t="s">
        <v>392</v>
      </c>
      <c r="C518">
        <v>-30.796288919999999</v>
      </c>
      <c r="D518">
        <v>152.85271660000001</v>
      </c>
      <c r="E518">
        <v>0</v>
      </c>
      <c r="F518">
        <v>0</v>
      </c>
      <c r="I518">
        <v>129</v>
      </c>
      <c r="J518">
        <v>0</v>
      </c>
      <c r="O518">
        <v>0</v>
      </c>
      <c r="AE518">
        <v>0</v>
      </c>
    </row>
    <row r="519" spans="1:44" x14ac:dyDescent="0.25">
      <c r="A519">
        <v>230</v>
      </c>
      <c r="B519" t="s">
        <v>650</v>
      </c>
      <c r="C519">
        <v>-30.820484990000001</v>
      </c>
      <c r="D519">
        <v>152.50969449999999</v>
      </c>
      <c r="F519">
        <v>0</v>
      </c>
    </row>
    <row r="520" spans="1:44" x14ac:dyDescent="0.25">
      <c r="A520">
        <v>231</v>
      </c>
      <c r="B520" t="s">
        <v>651</v>
      </c>
      <c r="C520">
        <v>-30.892661310000001</v>
      </c>
      <c r="D520">
        <v>151.15763140000001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L520">
        <v>0</v>
      </c>
      <c r="AP520">
        <v>1000</v>
      </c>
      <c r="AR520">
        <v>0</v>
      </c>
    </row>
    <row r="521" spans="1:44" x14ac:dyDescent="0.25">
      <c r="A521">
        <v>7</v>
      </c>
      <c r="B521" t="s">
        <v>173</v>
      </c>
      <c r="C521">
        <v>-30.899938280000001</v>
      </c>
      <c r="D521">
        <v>153.0658048</v>
      </c>
      <c r="E521">
        <v>400</v>
      </c>
      <c r="F521">
        <v>1995</v>
      </c>
      <c r="G521">
        <v>3355</v>
      </c>
      <c r="H521">
        <v>0</v>
      </c>
      <c r="I521">
        <v>0</v>
      </c>
      <c r="J521">
        <v>1500</v>
      </c>
      <c r="K521">
        <v>8000</v>
      </c>
      <c r="L521">
        <v>520</v>
      </c>
      <c r="M521">
        <v>343</v>
      </c>
      <c r="N521">
        <v>831</v>
      </c>
      <c r="O521">
        <v>346</v>
      </c>
      <c r="P521">
        <v>3500</v>
      </c>
      <c r="R521">
        <v>2300</v>
      </c>
      <c r="T521">
        <v>3580</v>
      </c>
      <c r="U521">
        <v>1400</v>
      </c>
      <c r="W521">
        <v>3460</v>
      </c>
      <c r="X521">
        <v>0</v>
      </c>
      <c r="Z521">
        <v>4350</v>
      </c>
      <c r="AF521">
        <v>0</v>
      </c>
      <c r="AK521">
        <v>0</v>
      </c>
    </row>
    <row r="522" spans="1:44" x14ac:dyDescent="0.25">
      <c r="A522">
        <v>982</v>
      </c>
      <c r="B522" t="s">
        <v>174</v>
      </c>
      <c r="C522">
        <v>-30.926600000000001</v>
      </c>
      <c r="D522">
        <v>153.03</v>
      </c>
      <c r="AA522">
        <v>3992</v>
      </c>
      <c r="AB522">
        <v>4800</v>
      </c>
      <c r="AE522">
        <v>3500</v>
      </c>
      <c r="AF522">
        <v>0</v>
      </c>
      <c r="AK522">
        <v>0</v>
      </c>
    </row>
    <row r="523" spans="1:44" x14ac:dyDescent="0.25">
      <c r="A523">
        <v>28</v>
      </c>
      <c r="B523" t="s">
        <v>652</v>
      </c>
      <c r="C523">
        <v>-30.935927370000002</v>
      </c>
      <c r="D523">
        <v>152.94949840000001</v>
      </c>
      <c r="E523">
        <v>0</v>
      </c>
      <c r="F523">
        <v>0</v>
      </c>
    </row>
    <row r="524" spans="1:44" x14ac:dyDescent="0.25">
      <c r="A524">
        <v>37</v>
      </c>
      <c r="B524" t="s">
        <v>653</v>
      </c>
      <c r="C524">
        <v>-30.990686279999998</v>
      </c>
      <c r="D524">
        <v>152.70457010000001</v>
      </c>
      <c r="F524">
        <v>0</v>
      </c>
      <c r="G524">
        <v>0</v>
      </c>
      <c r="K524">
        <v>0</v>
      </c>
      <c r="M524">
        <v>0</v>
      </c>
      <c r="N524">
        <v>0</v>
      </c>
      <c r="O524">
        <v>0</v>
      </c>
      <c r="Q524">
        <v>0</v>
      </c>
      <c r="AE524">
        <v>0</v>
      </c>
    </row>
    <row r="525" spans="1:44" x14ac:dyDescent="0.25">
      <c r="A525">
        <v>49</v>
      </c>
      <c r="B525" t="s">
        <v>654</v>
      </c>
      <c r="C525">
        <v>-30.99460766</v>
      </c>
      <c r="D525">
        <v>152.7275176</v>
      </c>
      <c r="F525">
        <v>0</v>
      </c>
      <c r="G525">
        <v>0</v>
      </c>
      <c r="K525">
        <v>0</v>
      </c>
      <c r="M525">
        <v>0</v>
      </c>
      <c r="N525">
        <v>0</v>
      </c>
      <c r="O525">
        <v>0</v>
      </c>
      <c r="Q525">
        <v>0</v>
      </c>
    </row>
    <row r="526" spans="1:44" x14ac:dyDescent="0.25">
      <c r="A526">
        <v>4</v>
      </c>
      <c r="B526" t="s">
        <v>655</v>
      </c>
      <c r="C526">
        <v>-31.059087600000002</v>
      </c>
      <c r="D526">
        <v>152.7757684</v>
      </c>
      <c r="E526">
        <v>0</v>
      </c>
      <c r="F526">
        <v>0</v>
      </c>
      <c r="M526">
        <v>0</v>
      </c>
    </row>
    <row r="527" spans="1:44" x14ac:dyDescent="0.25">
      <c r="A527">
        <v>528</v>
      </c>
      <c r="B527" t="s">
        <v>34</v>
      </c>
      <c r="C527">
        <v>-31.0839</v>
      </c>
      <c r="D527">
        <v>152.84289999999999</v>
      </c>
      <c r="E527">
        <v>3600</v>
      </c>
      <c r="F527">
        <v>361</v>
      </c>
      <c r="G527">
        <v>899</v>
      </c>
      <c r="H527">
        <v>1908</v>
      </c>
      <c r="I527">
        <v>2440</v>
      </c>
      <c r="K527">
        <v>0</v>
      </c>
      <c r="M527">
        <v>4639</v>
      </c>
      <c r="N527">
        <v>3503</v>
      </c>
      <c r="O527">
        <v>780</v>
      </c>
      <c r="P527">
        <v>2807</v>
      </c>
      <c r="Q527">
        <v>38</v>
      </c>
      <c r="R527">
        <v>0</v>
      </c>
      <c r="S527">
        <v>2865</v>
      </c>
      <c r="T527">
        <v>2000</v>
      </c>
      <c r="U527">
        <v>1800</v>
      </c>
      <c r="V527">
        <v>1900</v>
      </c>
      <c r="W527">
        <v>1873</v>
      </c>
      <c r="Y527">
        <v>2630</v>
      </c>
      <c r="Z527">
        <v>0</v>
      </c>
      <c r="AA527">
        <v>3833</v>
      </c>
      <c r="AB527">
        <v>4000</v>
      </c>
      <c r="AC527">
        <v>0</v>
      </c>
      <c r="AD527">
        <v>0</v>
      </c>
      <c r="AE527">
        <v>39600</v>
      </c>
      <c r="AF527">
        <v>4200</v>
      </c>
      <c r="AG527">
        <v>4600</v>
      </c>
      <c r="AH527">
        <v>509</v>
      </c>
      <c r="AK527">
        <v>16488</v>
      </c>
      <c r="AP527">
        <v>21205</v>
      </c>
      <c r="AQ527">
        <v>5600</v>
      </c>
      <c r="AR527">
        <v>6800</v>
      </c>
    </row>
    <row r="528" spans="1:44" x14ac:dyDescent="0.25">
      <c r="A528">
        <v>855</v>
      </c>
      <c r="B528" t="s">
        <v>35</v>
      </c>
      <c r="C528">
        <v>-31.089300000000001</v>
      </c>
      <c r="D528">
        <v>152.84219999999999</v>
      </c>
      <c r="Q528">
        <v>19417</v>
      </c>
      <c r="R528">
        <v>33006</v>
      </c>
      <c r="S528">
        <v>0</v>
      </c>
      <c r="T528">
        <v>0</v>
      </c>
      <c r="U528">
        <v>0</v>
      </c>
      <c r="W528">
        <v>0</v>
      </c>
      <c r="Y528">
        <v>0</v>
      </c>
      <c r="Z528">
        <v>48483</v>
      </c>
      <c r="AB528">
        <v>0</v>
      </c>
      <c r="AC528">
        <v>30000</v>
      </c>
      <c r="AD528">
        <v>5250</v>
      </c>
      <c r="AE528">
        <v>0</v>
      </c>
      <c r="AG528">
        <v>0</v>
      </c>
      <c r="AH528">
        <v>1769</v>
      </c>
      <c r="AK528">
        <v>0</v>
      </c>
      <c r="AP528">
        <v>7573</v>
      </c>
      <c r="AQ528">
        <v>0</v>
      </c>
    </row>
    <row r="529" spans="1:44" x14ac:dyDescent="0.25">
      <c r="A529">
        <v>257</v>
      </c>
      <c r="B529" t="s">
        <v>175</v>
      </c>
      <c r="C529">
        <v>-31.095317359999999</v>
      </c>
      <c r="D529">
        <v>150.92888189999999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L529">
        <v>0</v>
      </c>
      <c r="AD529">
        <v>195</v>
      </c>
      <c r="AE529">
        <v>9140</v>
      </c>
      <c r="AF529">
        <v>89450</v>
      </c>
      <c r="AH529">
        <v>223</v>
      </c>
      <c r="AK529">
        <v>21050</v>
      </c>
      <c r="AO529">
        <v>1860</v>
      </c>
      <c r="AP529">
        <v>4030</v>
      </c>
      <c r="AQ529">
        <v>93700</v>
      </c>
      <c r="AR529">
        <v>302250</v>
      </c>
    </row>
    <row r="530" spans="1:44" x14ac:dyDescent="0.25">
      <c r="A530">
        <v>530</v>
      </c>
      <c r="B530" t="s">
        <v>36</v>
      </c>
      <c r="C530">
        <v>-31.101600000000001</v>
      </c>
      <c r="D530">
        <v>150.94</v>
      </c>
      <c r="E530">
        <v>3690</v>
      </c>
      <c r="F530">
        <v>0</v>
      </c>
      <c r="G530">
        <v>1053</v>
      </c>
      <c r="H530">
        <v>535</v>
      </c>
      <c r="I530">
        <v>4420</v>
      </c>
      <c r="J530">
        <v>0</v>
      </c>
      <c r="K530">
        <v>6045</v>
      </c>
      <c r="L530">
        <v>21920</v>
      </c>
      <c r="M530">
        <v>2620</v>
      </c>
      <c r="N530">
        <v>1100</v>
      </c>
      <c r="O530">
        <v>10610</v>
      </c>
      <c r="P530">
        <v>68254</v>
      </c>
      <c r="Q530">
        <v>0</v>
      </c>
      <c r="R530">
        <v>0</v>
      </c>
      <c r="S530">
        <v>0</v>
      </c>
      <c r="T530">
        <v>7830</v>
      </c>
      <c r="U530">
        <v>2242</v>
      </c>
      <c r="V530">
        <v>1195</v>
      </c>
      <c r="W530">
        <v>127500</v>
      </c>
      <c r="X530">
        <v>82500</v>
      </c>
      <c r="Y530">
        <v>2285</v>
      </c>
      <c r="Z530">
        <v>175</v>
      </c>
      <c r="AA530">
        <v>241</v>
      </c>
      <c r="AB530">
        <v>0</v>
      </c>
      <c r="AC530">
        <v>0</v>
      </c>
      <c r="AG530">
        <v>445</v>
      </c>
      <c r="AR530">
        <v>1000</v>
      </c>
    </row>
    <row r="531" spans="1:44" x14ac:dyDescent="0.25">
      <c r="A531">
        <v>50</v>
      </c>
      <c r="B531" t="s">
        <v>656</v>
      </c>
      <c r="C531">
        <v>-31.101630839999999</v>
      </c>
      <c r="D531">
        <v>152.84097499999999</v>
      </c>
      <c r="E531">
        <v>0</v>
      </c>
      <c r="F531">
        <v>0</v>
      </c>
      <c r="G531">
        <v>0</v>
      </c>
      <c r="H531">
        <v>0</v>
      </c>
      <c r="I531">
        <v>0</v>
      </c>
      <c r="K531">
        <v>0</v>
      </c>
      <c r="M531">
        <v>0</v>
      </c>
      <c r="N531">
        <v>0</v>
      </c>
      <c r="O531">
        <v>0</v>
      </c>
      <c r="Q531">
        <v>0</v>
      </c>
      <c r="R531">
        <v>0</v>
      </c>
      <c r="AE531">
        <v>0</v>
      </c>
    </row>
    <row r="532" spans="1:44" x14ac:dyDescent="0.25">
      <c r="A532">
        <v>33</v>
      </c>
      <c r="B532" t="s">
        <v>657</v>
      </c>
      <c r="C532">
        <v>-31.16518735</v>
      </c>
      <c r="D532">
        <v>152.9507308</v>
      </c>
      <c r="F532">
        <v>0</v>
      </c>
      <c r="G532">
        <v>0</v>
      </c>
    </row>
    <row r="533" spans="1:44" x14ac:dyDescent="0.25">
      <c r="A533">
        <v>254</v>
      </c>
      <c r="B533" t="s">
        <v>393</v>
      </c>
      <c r="C533">
        <v>-31.288605539999999</v>
      </c>
      <c r="D533">
        <v>152.77068779999999</v>
      </c>
      <c r="F533">
        <v>0</v>
      </c>
      <c r="G533">
        <v>0</v>
      </c>
      <c r="H533">
        <v>0</v>
      </c>
      <c r="J533">
        <v>6456</v>
      </c>
      <c r="K533">
        <v>0</v>
      </c>
      <c r="L533">
        <v>0</v>
      </c>
      <c r="M533">
        <v>8016</v>
      </c>
      <c r="O533">
        <v>0</v>
      </c>
      <c r="P533">
        <v>0</v>
      </c>
      <c r="R533">
        <v>1140</v>
      </c>
      <c r="S533">
        <v>0</v>
      </c>
      <c r="T533">
        <v>0</v>
      </c>
      <c r="U533">
        <v>0</v>
      </c>
      <c r="W533">
        <v>0</v>
      </c>
      <c r="X533">
        <v>0</v>
      </c>
      <c r="AB533">
        <v>0</v>
      </c>
      <c r="AH533">
        <v>0</v>
      </c>
    </row>
    <row r="534" spans="1:44" x14ac:dyDescent="0.25">
      <c r="A534">
        <v>263</v>
      </c>
      <c r="B534" t="s">
        <v>658</v>
      </c>
      <c r="C534">
        <v>-31.305502659999998</v>
      </c>
      <c r="D534">
        <v>151.1483293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L534">
        <v>0</v>
      </c>
    </row>
    <row r="535" spans="1:44" x14ac:dyDescent="0.25">
      <c r="A535">
        <v>628</v>
      </c>
      <c r="B535" t="s">
        <v>659</v>
      </c>
      <c r="C535">
        <v>-31.313099999999999</v>
      </c>
      <c r="D535">
        <v>152.8331</v>
      </c>
      <c r="F535">
        <v>0</v>
      </c>
      <c r="G535">
        <v>0</v>
      </c>
      <c r="L535">
        <v>0</v>
      </c>
      <c r="M535">
        <v>0</v>
      </c>
      <c r="N535">
        <v>0</v>
      </c>
    </row>
    <row r="536" spans="1:44" x14ac:dyDescent="0.25">
      <c r="A536">
        <v>604</v>
      </c>
      <c r="B536" t="s">
        <v>37</v>
      </c>
      <c r="C536">
        <v>-31.328309650000001</v>
      </c>
      <c r="D536">
        <v>152.29891699999999</v>
      </c>
      <c r="F536">
        <v>0</v>
      </c>
      <c r="G536">
        <v>0</v>
      </c>
      <c r="H536">
        <v>0</v>
      </c>
      <c r="I536">
        <v>0</v>
      </c>
      <c r="K536">
        <v>0</v>
      </c>
      <c r="L536">
        <v>0</v>
      </c>
      <c r="M536">
        <v>0</v>
      </c>
      <c r="O536">
        <v>0</v>
      </c>
      <c r="P536">
        <v>0</v>
      </c>
      <c r="Q536">
        <v>35000</v>
      </c>
      <c r="R536">
        <v>50000</v>
      </c>
      <c r="S536">
        <v>0</v>
      </c>
      <c r="T536">
        <v>0</v>
      </c>
      <c r="U536">
        <v>0</v>
      </c>
      <c r="W536">
        <v>0</v>
      </c>
      <c r="Y536">
        <v>0</v>
      </c>
      <c r="Z536">
        <v>10000</v>
      </c>
      <c r="AA536">
        <v>0</v>
      </c>
      <c r="AB536">
        <v>0</v>
      </c>
      <c r="AD536">
        <v>0</v>
      </c>
      <c r="AF536">
        <v>0</v>
      </c>
      <c r="AH536">
        <v>0</v>
      </c>
      <c r="AQ536">
        <v>0</v>
      </c>
      <c r="AR536">
        <v>0</v>
      </c>
    </row>
    <row r="537" spans="1:44" x14ac:dyDescent="0.25">
      <c r="A537">
        <v>115</v>
      </c>
      <c r="B537" t="s">
        <v>38</v>
      </c>
      <c r="C537">
        <v>-31.436378730000001</v>
      </c>
      <c r="D537">
        <v>152.9071817</v>
      </c>
      <c r="E537">
        <v>8123</v>
      </c>
      <c r="F537">
        <v>8678</v>
      </c>
      <c r="G537">
        <v>29600</v>
      </c>
      <c r="H537">
        <v>5400</v>
      </c>
      <c r="I537">
        <v>860</v>
      </c>
      <c r="J537">
        <v>0</v>
      </c>
      <c r="K537">
        <v>21129</v>
      </c>
      <c r="L537">
        <v>1175</v>
      </c>
      <c r="M537">
        <v>2400</v>
      </c>
      <c r="N537">
        <v>4779</v>
      </c>
      <c r="O537">
        <v>67243</v>
      </c>
      <c r="P537">
        <v>27721</v>
      </c>
      <c r="Q537">
        <v>29766</v>
      </c>
      <c r="R537">
        <v>14335</v>
      </c>
      <c r="S537">
        <v>32599</v>
      </c>
      <c r="T537">
        <v>8718</v>
      </c>
      <c r="U537">
        <v>1700</v>
      </c>
      <c r="V537">
        <v>2598</v>
      </c>
      <c r="W537">
        <v>27000</v>
      </c>
      <c r="X537">
        <v>8156</v>
      </c>
      <c r="Y537">
        <v>24771</v>
      </c>
      <c r="Z537">
        <v>30000</v>
      </c>
      <c r="AA537">
        <v>9500</v>
      </c>
      <c r="AB537">
        <v>16484</v>
      </c>
      <c r="AC537">
        <v>76795</v>
      </c>
      <c r="AD537">
        <v>6805</v>
      </c>
      <c r="AE537">
        <v>0</v>
      </c>
      <c r="AF537">
        <v>6913</v>
      </c>
      <c r="AG537">
        <v>1309</v>
      </c>
      <c r="AH537">
        <v>7175</v>
      </c>
      <c r="AK537">
        <v>760</v>
      </c>
      <c r="AP537">
        <v>18306</v>
      </c>
      <c r="AQ537">
        <v>8475</v>
      </c>
      <c r="AR537">
        <v>5696</v>
      </c>
    </row>
    <row r="538" spans="1:44" x14ac:dyDescent="0.25">
      <c r="A538">
        <v>21</v>
      </c>
      <c r="B538" t="s">
        <v>39</v>
      </c>
      <c r="C538">
        <v>-31.448572160000001</v>
      </c>
      <c r="D538">
        <v>152.65234129999999</v>
      </c>
      <c r="E538">
        <v>0</v>
      </c>
      <c r="F538">
        <v>612</v>
      </c>
      <c r="G538">
        <v>0</v>
      </c>
      <c r="H538">
        <v>0</v>
      </c>
      <c r="I538">
        <v>788</v>
      </c>
      <c r="J538">
        <v>4569</v>
      </c>
      <c r="K538">
        <v>0</v>
      </c>
      <c r="L538">
        <v>0</v>
      </c>
      <c r="M538">
        <v>3790</v>
      </c>
      <c r="O538">
        <v>0</v>
      </c>
      <c r="P538">
        <v>0</v>
      </c>
      <c r="S538">
        <v>0</v>
      </c>
      <c r="T538">
        <v>0</v>
      </c>
      <c r="U538">
        <v>9667</v>
      </c>
      <c r="V538">
        <v>1346</v>
      </c>
      <c r="W538">
        <v>0</v>
      </c>
      <c r="X538">
        <v>0</v>
      </c>
      <c r="Y538">
        <v>0</v>
      </c>
      <c r="Z538">
        <v>15304</v>
      </c>
      <c r="AA538">
        <v>0</v>
      </c>
      <c r="AB538">
        <v>0</v>
      </c>
      <c r="AC538">
        <v>20610</v>
      </c>
      <c r="AD538">
        <v>0</v>
      </c>
      <c r="AE538">
        <v>0</v>
      </c>
      <c r="AF538">
        <v>0</v>
      </c>
      <c r="AG538">
        <v>0</v>
      </c>
      <c r="AH538">
        <v>572</v>
      </c>
      <c r="AK538">
        <v>1189</v>
      </c>
      <c r="AP538">
        <v>0</v>
      </c>
      <c r="AQ538">
        <v>0</v>
      </c>
      <c r="AR538">
        <v>0</v>
      </c>
    </row>
    <row r="539" spans="1:44" x14ac:dyDescent="0.25">
      <c r="A539">
        <v>1196</v>
      </c>
      <c r="B539" t="s">
        <v>813</v>
      </c>
      <c r="C539">
        <v>-31.450099999999999</v>
      </c>
      <c r="D539">
        <v>152.7227</v>
      </c>
      <c r="AH539">
        <v>15</v>
      </c>
    </row>
    <row r="540" spans="1:44" x14ac:dyDescent="0.25">
      <c r="A540">
        <v>84</v>
      </c>
      <c r="B540" t="s">
        <v>660</v>
      </c>
      <c r="C540">
        <v>-31.462728240000001</v>
      </c>
      <c r="D540">
        <v>152.93042750000001</v>
      </c>
      <c r="E540">
        <v>0</v>
      </c>
      <c r="F540">
        <v>0</v>
      </c>
      <c r="G540">
        <v>0</v>
      </c>
      <c r="J540">
        <v>0</v>
      </c>
      <c r="N540">
        <v>0</v>
      </c>
      <c r="P540">
        <v>0</v>
      </c>
      <c r="R540">
        <v>0</v>
      </c>
      <c r="AH540">
        <v>0</v>
      </c>
    </row>
    <row r="541" spans="1:44" x14ac:dyDescent="0.25">
      <c r="A541">
        <v>615</v>
      </c>
      <c r="B541" t="s">
        <v>40</v>
      </c>
      <c r="C541">
        <v>-31.612500000000001</v>
      </c>
      <c r="D541">
        <v>152.70330000000001</v>
      </c>
      <c r="I541">
        <v>0</v>
      </c>
      <c r="J541">
        <v>56782</v>
      </c>
      <c r="K541">
        <v>0</v>
      </c>
      <c r="L541">
        <v>0</v>
      </c>
      <c r="M541">
        <v>4178</v>
      </c>
      <c r="N541">
        <v>28843</v>
      </c>
      <c r="O541">
        <v>32334</v>
      </c>
      <c r="P541">
        <v>0</v>
      </c>
      <c r="T541">
        <v>0</v>
      </c>
      <c r="AA541">
        <v>47517</v>
      </c>
      <c r="AH541">
        <v>0</v>
      </c>
      <c r="AK541">
        <v>0</v>
      </c>
    </row>
    <row r="542" spans="1:44" x14ac:dyDescent="0.25">
      <c r="A542">
        <v>938</v>
      </c>
      <c r="B542" t="s">
        <v>41</v>
      </c>
      <c r="C542">
        <v>-31.613800000000001</v>
      </c>
      <c r="D542">
        <v>152.68539999999999</v>
      </c>
      <c r="G542">
        <v>39721</v>
      </c>
      <c r="H542">
        <v>0</v>
      </c>
      <c r="Q542">
        <v>31783</v>
      </c>
      <c r="R542">
        <v>44661</v>
      </c>
      <c r="U542">
        <v>1800</v>
      </c>
      <c r="W542">
        <v>35080</v>
      </c>
      <c r="Y542">
        <v>23813</v>
      </c>
      <c r="AE542">
        <v>18000</v>
      </c>
      <c r="AG542">
        <v>0</v>
      </c>
      <c r="AH542">
        <v>0</v>
      </c>
      <c r="AK542">
        <v>1427</v>
      </c>
    </row>
    <row r="543" spans="1:44" x14ac:dyDescent="0.25">
      <c r="A543">
        <v>120</v>
      </c>
      <c r="B543" t="s">
        <v>661</v>
      </c>
      <c r="C543">
        <v>-31.632100820000002</v>
      </c>
      <c r="D543">
        <v>152.79359389999999</v>
      </c>
      <c r="F543">
        <v>0</v>
      </c>
      <c r="G543">
        <v>0</v>
      </c>
      <c r="L543">
        <v>0</v>
      </c>
      <c r="M543">
        <v>0</v>
      </c>
      <c r="P543">
        <v>0</v>
      </c>
      <c r="W543">
        <v>0</v>
      </c>
    </row>
    <row r="544" spans="1:44" x14ac:dyDescent="0.25">
      <c r="A544">
        <v>124</v>
      </c>
      <c r="B544" t="s">
        <v>662</v>
      </c>
      <c r="C544">
        <v>-31.651391780000001</v>
      </c>
      <c r="D544">
        <v>152.8217995</v>
      </c>
      <c r="E544">
        <v>0</v>
      </c>
      <c r="F544">
        <v>0</v>
      </c>
      <c r="G544">
        <v>0</v>
      </c>
      <c r="H544">
        <v>0</v>
      </c>
      <c r="I544">
        <v>0</v>
      </c>
      <c r="L544">
        <v>0</v>
      </c>
      <c r="M544">
        <v>0</v>
      </c>
      <c r="N544">
        <v>0</v>
      </c>
      <c r="P544">
        <v>0</v>
      </c>
      <c r="T544">
        <v>0</v>
      </c>
      <c r="W544">
        <v>0</v>
      </c>
    </row>
    <row r="545" spans="1:44" x14ac:dyDescent="0.25">
      <c r="A545">
        <v>617</v>
      </c>
      <c r="B545" t="s">
        <v>176</v>
      </c>
      <c r="C545">
        <v>-31.755685</v>
      </c>
      <c r="D545">
        <v>152.59582800000001</v>
      </c>
      <c r="F545">
        <v>4788</v>
      </c>
      <c r="G545">
        <v>4067</v>
      </c>
      <c r="H545">
        <v>0</v>
      </c>
      <c r="I545">
        <v>0</v>
      </c>
      <c r="J545">
        <v>2120</v>
      </c>
      <c r="K545">
        <v>7506</v>
      </c>
      <c r="L545">
        <v>0</v>
      </c>
      <c r="M545">
        <v>0</v>
      </c>
      <c r="N545">
        <v>2164</v>
      </c>
      <c r="O545">
        <v>0</v>
      </c>
      <c r="P545">
        <v>0</v>
      </c>
      <c r="Q545">
        <v>8013</v>
      </c>
      <c r="R545">
        <v>12799</v>
      </c>
      <c r="S545">
        <v>1142</v>
      </c>
      <c r="T545">
        <v>0</v>
      </c>
      <c r="U545">
        <v>750</v>
      </c>
      <c r="V545">
        <v>2000</v>
      </c>
      <c r="Y545">
        <v>0</v>
      </c>
      <c r="AB545">
        <v>0</v>
      </c>
      <c r="AD545">
        <v>1450</v>
      </c>
      <c r="AG545">
        <v>0</v>
      </c>
      <c r="AH545">
        <v>675</v>
      </c>
      <c r="AK545">
        <v>6042</v>
      </c>
      <c r="AO545">
        <v>0</v>
      </c>
    </row>
    <row r="546" spans="1:44" x14ac:dyDescent="0.25">
      <c r="A546">
        <v>910</v>
      </c>
      <c r="B546" t="s">
        <v>42</v>
      </c>
      <c r="C546">
        <v>-31.7639</v>
      </c>
      <c r="D546">
        <v>150.8321</v>
      </c>
      <c r="W546">
        <v>52380</v>
      </c>
      <c r="X546">
        <v>0</v>
      </c>
      <c r="AF546">
        <v>0</v>
      </c>
      <c r="AQ546">
        <v>1200</v>
      </c>
      <c r="AR546">
        <v>0</v>
      </c>
    </row>
    <row r="547" spans="1:44" x14ac:dyDescent="0.25">
      <c r="A547">
        <v>131</v>
      </c>
      <c r="B547" t="s">
        <v>663</v>
      </c>
      <c r="C547">
        <v>-31.774048059999998</v>
      </c>
      <c r="D547">
        <v>152.65153090000001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44" x14ac:dyDescent="0.25">
      <c r="A548">
        <v>93</v>
      </c>
      <c r="B548" t="s">
        <v>43</v>
      </c>
      <c r="C548">
        <v>-31.86963553</v>
      </c>
      <c r="D548">
        <v>152.3810919</v>
      </c>
      <c r="E548">
        <v>4907</v>
      </c>
      <c r="F548">
        <v>11017</v>
      </c>
      <c r="G548">
        <v>13583</v>
      </c>
      <c r="H548">
        <v>6805</v>
      </c>
      <c r="I548">
        <v>5824</v>
      </c>
      <c r="J548">
        <v>19257</v>
      </c>
      <c r="K548">
        <v>5020</v>
      </c>
      <c r="L548">
        <v>0</v>
      </c>
      <c r="M548">
        <v>34420</v>
      </c>
      <c r="N548">
        <v>46643</v>
      </c>
      <c r="O548">
        <v>49451</v>
      </c>
      <c r="P548">
        <v>60640</v>
      </c>
      <c r="Q548">
        <v>86460</v>
      </c>
      <c r="R548">
        <v>91973</v>
      </c>
      <c r="S548">
        <v>40407</v>
      </c>
      <c r="T548">
        <v>29845</v>
      </c>
      <c r="U548">
        <v>11180</v>
      </c>
      <c r="V548">
        <v>14020</v>
      </c>
      <c r="W548">
        <v>28388</v>
      </c>
      <c r="Y548">
        <v>23488</v>
      </c>
      <c r="Z548">
        <v>30000</v>
      </c>
      <c r="AA548">
        <v>52205</v>
      </c>
      <c r="AB548">
        <v>18488</v>
      </c>
      <c r="AC548">
        <v>90000</v>
      </c>
      <c r="AD548">
        <v>30000</v>
      </c>
      <c r="AE548">
        <v>36855</v>
      </c>
      <c r="AF548">
        <v>28000</v>
      </c>
      <c r="AG548">
        <v>4200</v>
      </c>
      <c r="AH548">
        <v>9332</v>
      </c>
      <c r="AK548">
        <v>5140</v>
      </c>
      <c r="AP548">
        <v>44669</v>
      </c>
      <c r="AQ548">
        <v>25500</v>
      </c>
      <c r="AR548">
        <v>1000</v>
      </c>
    </row>
    <row r="549" spans="1:44" x14ac:dyDescent="0.25">
      <c r="A549">
        <v>31</v>
      </c>
      <c r="B549" t="s">
        <v>177</v>
      </c>
      <c r="C549">
        <v>-31.919312649999998</v>
      </c>
      <c r="D549">
        <v>152.4568433</v>
      </c>
      <c r="F549">
        <v>0</v>
      </c>
      <c r="G549">
        <v>3050</v>
      </c>
      <c r="H549">
        <v>0</v>
      </c>
      <c r="I549">
        <v>105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2000</v>
      </c>
      <c r="V549">
        <v>464</v>
      </c>
      <c r="Y549">
        <v>129</v>
      </c>
      <c r="AA549">
        <v>0</v>
      </c>
      <c r="AB549">
        <v>0</v>
      </c>
      <c r="AC549">
        <v>6000</v>
      </c>
      <c r="AH549">
        <v>600</v>
      </c>
      <c r="AK549">
        <v>1000</v>
      </c>
    </row>
    <row r="550" spans="1:44" x14ac:dyDescent="0.25">
      <c r="A550">
        <v>52</v>
      </c>
      <c r="B550" t="s">
        <v>664</v>
      </c>
      <c r="C550">
        <v>-32.002367569999997</v>
      </c>
      <c r="D550">
        <v>152.43447080000001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S550">
        <v>0</v>
      </c>
      <c r="T550">
        <v>0</v>
      </c>
      <c r="V550">
        <v>0</v>
      </c>
      <c r="Y550">
        <v>0</v>
      </c>
      <c r="AB550">
        <v>0</v>
      </c>
      <c r="AH550">
        <v>0</v>
      </c>
      <c r="AO550">
        <v>0</v>
      </c>
    </row>
    <row r="551" spans="1:44" x14ac:dyDescent="0.25">
      <c r="A551">
        <v>876</v>
      </c>
      <c r="B551" t="s">
        <v>665</v>
      </c>
      <c r="C551">
        <v>-32.052200999999997</v>
      </c>
      <c r="D551">
        <v>150.859396</v>
      </c>
      <c r="W551">
        <v>0</v>
      </c>
      <c r="X551">
        <v>0</v>
      </c>
      <c r="AQ551">
        <v>0</v>
      </c>
      <c r="AR551">
        <v>0</v>
      </c>
    </row>
    <row r="552" spans="1:44" x14ac:dyDescent="0.25">
      <c r="A552">
        <v>251</v>
      </c>
      <c r="B552" t="s">
        <v>394</v>
      </c>
      <c r="C552">
        <v>-32.053565319999997</v>
      </c>
      <c r="D552">
        <v>152.53406200000001</v>
      </c>
      <c r="F552">
        <v>0</v>
      </c>
      <c r="G552">
        <v>0</v>
      </c>
      <c r="H552">
        <v>0</v>
      </c>
      <c r="I552">
        <v>130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V552">
        <v>0</v>
      </c>
      <c r="Y552">
        <v>0</v>
      </c>
      <c r="AA552">
        <v>0</v>
      </c>
    </row>
    <row r="553" spans="1:44" x14ac:dyDescent="0.25">
      <c r="A553">
        <v>1003</v>
      </c>
      <c r="B553" t="s">
        <v>178</v>
      </c>
      <c r="C553">
        <v>-32.124499999999998</v>
      </c>
      <c r="D553">
        <v>151.46639999999999</v>
      </c>
      <c r="AD553">
        <v>2500</v>
      </c>
      <c r="AE553">
        <v>0</v>
      </c>
      <c r="AF553">
        <v>0</v>
      </c>
      <c r="AK553">
        <v>0</v>
      </c>
    </row>
    <row r="554" spans="1:44" x14ac:dyDescent="0.25">
      <c r="A554">
        <v>875</v>
      </c>
      <c r="B554" t="s">
        <v>666</v>
      </c>
      <c r="C554">
        <v>-32.167549999999999</v>
      </c>
      <c r="D554">
        <v>150.88580999999999</v>
      </c>
      <c r="W554">
        <v>0</v>
      </c>
      <c r="X554">
        <v>0</v>
      </c>
      <c r="AQ554">
        <v>0</v>
      </c>
      <c r="AR554">
        <v>0</v>
      </c>
    </row>
    <row r="555" spans="1:44" x14ac:dyDescent="0.25">
      <c r="A555">
        <v>997</v>
      </c>
      <c r="B555" t="s">
        <v>179</v>
      </c>
      <c r="C555">
        <v>-32.200200000000002</v>
      </c>
      <c r="D555">
        <v>152.53399999999999</v>
      </c>
      <c r="AC555">
        <v>491</v>
      </c>
      <c r="AD555">
        <v>155</v>
      </c>
      <c r="AE555">
        <v>145</v>
      </c>
      <c r="AF555">
        <v>1700</v>
      </c>
      <c r="AG555">
        <v>90</v>
      </c>
      <c r="AH555">
        <v>2085</v>
      </c>
      <c r="AK555">
        <v>0</v>
      </c>
      <c r="AP555">
        <v>6000</v>
      </c>
      <c r="AQ555">
        <v>6500</v>
      </c>
      <c r="AR555">
        <v>2200</v>
      </c>
    </row>
    <row r="556" spans="1:44" x14ac:dyDescent="0.25">
      <c r="A556">
        <v>132</v>
      </c>
      <c r="B556" t="s">
        <v>44</v>
      </c>
      <c r="C556">
        <v>-32.200560660000001</v>
      </c>
      <c r="D556">
        <v>152.53914599999999</v>
      </c>
      <c r="E556">
        <v>0</v>
      </c>
      <c r="F556">
        <v>3139</v>
      </c>
      <c r="H556">
        <v>0</v>
      </c>
      <c r="I556">
        <v>995</v>
      </c>
      <c r="J556">
        <v>28444</v>
      </c>
      <c r="K556">
        <v>1382</v>
      </c>
      <c r="L556">
        <v>500</v>
      </c>
      <c r="M556">
        <v>10507</v>
      </c>
      <c r="N556">
        <v>10297</v>
      </c>
      <c r="O556">
        <v>1692</v>
      </c>
      <c r="Q556">
        <v>5387</v>
      </c>
      <c r="R556">
        <v>13474</v>
      </c>
      <c r="S556">
        <v>2500</v>
      </c>
      <c r="T556">
        <v>5000</v>
      </c>
      <c r="U556">
        <v>500</v>
      </c>
      <c r="W556">
        <v>10850</v>
      </c>
      <c r="X556">
        <v>1350</v>
      </c>
      <c r="Y556">
        <v>450</v>
      </c>
      <c r="Z556">
        <v>1000</v>
      </c>
      <c r="AA556">
        <v>500</v>
      </c>
      <c r="AB556">
        <v>0</v>
      </c>
      <c r="AC556">
        <v>1264</v>
      </c>
      <c r="AD556">
        <v>6320</v>
      </c>
      <c r="AE556">
        <v>24300</v>
      </c>
      <c r="AF556">
        <v>0</v>
      </c>
      <c r="AG556">
        <v>0</v>
      </c>
      <c r="AH556">
        <v>200</v>
      </c>
      <c r="AK556">
        <v>2800</v>
      </c>
      <c r="AO556">
        <v>250</v>
      </c>
      <c r="AP556">
        <v>0</v>
      </c>
      <c r="AQ556">
        <v>0</v>
      </c>
      <c r="AR556">
        <v>0</v>
      </c>
    </row>
    <row r="557" spans="1:44" x14ac:dyDescent="0.25">
      <c r="A557">
        <v>940</v>
      </c>
      <c r="B557" t="s">
        <v>395</v>
      </c>
      <c r="C557">
        <v>-32.2151</v>
      </c>
      <c r="D557">
        <v>148.23679999999999</v>
      </c>
      <c r="X557">
        <v>0</v>
      </c>
      <c r="Y557">
        <v>0</v>
      </c>
      <c r="Z557">
        <v>0</v>
      </c>
      <c r="AA557">
        <v>0</v>
      </c>
      <c r="AC557">
        <v>0</v>
      </c>
      <c r="AD557">
        <v>0</v>
      </c>
      <c r="AE557">
        <v>0</v>
      </c>
      <c r="AH557">
        <v>0</v>
      </c>
      <c r="AK557">
        <v>0</v>
      </c>
      <c r="AP557">
        <v>0</v>
      </c>
    </row>
    <row r="558" spans="1:44" x14ac:dyDescent="0.25">
      <c r="A558">
        <v>915</v>
      </c>
      <c r="B558" t="s">
        <v>667</v>
      </c>
      <c r="C558">
        <v>-32.247500000000002</v>
      </c>
      <c r="D558">
        <v>148.60769999999999</v>
      </c>
      <c r="W558">
        <v>0</v>
      </c>
      <c r="X558">
        <v>0</v>
      </c>
      <c r="Y558">
        <v>0</v>
      </c>
      <c r="Z558">
        <v>0</v>
      </c>
      <c r="AA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K558">
        <v>0</v>
      </c>
    </row>
    <row r="559" spans="1:44" x14ac:dyDescent="0.25">
      <c r="A559">
        <v>113</v>
      </c>
      <c r="B559" t="s">
        <v>668</v>
      </c>
      <c r="C559">
        <v>-32.261805250000002</v>
      </c>
      <c r="D559">
        <v>151.81679099999999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K559">
        <v>0</v>
      </c>
      <c r="AO559">
        <v>0</v>
      </c>
      <c r="AQ559">
        <v>0</v>
      </c>
      <c r="AR559">
        <v>0</v>
      </c>
    </row>
    <row r="560" spans="1:44" x14ac:dyDescent="0.25">
      <c r="A560">
        <v>856</v>
      </c>
      <c r="B560" t="s">
        <v>45</v>
      </c>
      <c r="C560">
        <v>-32.2652</v>
      </c>
      <c r="D560">
        <v>150.88499999999999</v>
      </c>
      <c r="P560">
        <v>32000</v>
      </c>
      <c r="Q560">
        <v>1000</v>
      </c>
      <c r="R560">
        <v>800</v>
      </c>
      <c r="S560">
        <v>0</v>
      </c>
      <c r="T560">
        <v>0</v>
      </c>
      <c r="U560">
        <v>0</v>
      </c>
      <c r="V560">
        <v>1000</v>
      </c>
      <c r="W560">
        <v>800</v>
      </c>
      <c r="Y560">
        <v>10000</v>
      </c>
      <c r="Z560">
        <v>1500</v>
      </c>
      <c r="AA560">
        <v>1213</v>
      </c>
      <c r="AB560">
        <v>6500</v>
      </c>
      <c r="AE560">
        <v>10000</v>
      </c>
      <c r="AG560">
        <v>1100</v>
      </c>
      <c r="AH560">
        <v>450</v>
      </c>
      <c r="AK560">
        <v>1377</v>
      </c>
      <c r="AO560">
        <v>10000</v>
      </c>
      <c r="AP560">
        <v>2200</v>
      </c>
      <c r="AQ560">
        <v>0</v>
      </c>
      <c r="AR560">
        <v>10000</v>
      </c>
    </row>
    <row r="561" spans="1:44" x14ac:dyDescent="0.25">
      <c r="A561">
        <v>114</v>
      </c>
      <c r="B561" t="s">
        <v>180</v>
      </c>
      <c r="C561">
        <v>-32.276927039999997</v>
      </c>
      <c r="D561">
        <v>151.798947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4800</v>
      </c>
      <c r="K561">
        <v>620</v>
      </c>
      <c r="L561">
        <v>0</v>
      </c>
      <c r="M561">
        <v>2500</v>
      </c>
      <c r="N561">
        <v>12500</v>
      </c>
      <c r="O561">
        <v>0</v>
      </c>
      <c r="P561">
        <v>0</v>
      </c>
      <c r="Q561">
        <v>0</v>
      </c>
      <c r="R561">
        <v>5200</v>
      </c>
      <c r="S561">
        <v>0</v>
      </c>
      <c r="T561">
        <v>0</v>
      </c>
      <c r="U561">
        <v>0</v>
      </c>
      <c r="V561">
        <v>1560</v>
      </c>
      <c r="W561">
        <v>0</v>
      </c>
      <c r="X561">
        <v>0</v>
      </c>
      <c r="Y561">
        <v>0</v>
      </c>
      <c r="Z561">
        <v>0</v>
      </c>
      <c r="AB561">
        <v>0</v>
      </c>
      <c r="AC561">
        <v>0</v>
      </c>
      <c r="AD561">
        <v>120</v>
      </c>
      <c r="AE561">
        <v>0</v>
      </c>
      <c r="AF561">
        <v>0</v>
      </c>
      <c r="AG561">
        <v>0</v>
      </c>
      <c r="AH561">
        <v>0</v>
      </c>
      <c r="AK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5">
      <c r="A562">
        <v>224</v>
      </c>
      <c r="B562" t="s">
        <v>46</v>
      </c>
      <c r="C562">
        <v>-32.279735109999997</v>
      </c>
      <c r="D562">
        <v>148.5980903</v>
      </c>
      <c r="F562">
        <v>0</v>
      </c>
      <c r="G562">
        <v>0</v>
      </c>
      <c r="I562">
        <v>0</v>
      </c>
      <c r="O562">
        <v>0</v>
      </c>
      <c r="P562">
        <v>0</v>
      </c>
      <c r="S562">
        <v>0</v>
      </c>
      <c r="U562">
        <v>1408</v>
      </c>
      <c r="V562">
        <v>0</v>
      </c>
      <c r="W562">
        <v>15000</v>
      </c>
      <c r="X562">
        <v>0</v>
      </c>
      <c r="Y562">
        <v>0</v>
      </c>
      <c r="Z562">
        <v>0</v>
      </c>
      <c r="AA562">
        <v>117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K562">
        <v>30</v>
      </c>
      <c r="AP562">
        <v>0</v>
      </c>
    </row>
    <row r="563" spans="1:44" x14ac:dyDescent="0.25">
      <c r="A563">
        <v>96</v>
      </c>
      <c r="B563" t="s">
        <v>47</v>
      </c>
      <c r="C563">
        <v>-32.29577098</v>
      </c>
      <c r="D563">
        <v>152.38291269999999</v>
      </c>
      <c r="E563">
        <v>0</v>
      </c>
      <c r="F563">
        <v>0</v>
      </c>
      <c r="G563">
        <v>0</v>
      </c>
      <c r="I563">
        <v>0</v>
      </c>
      <c r="L563">
        <v>0</v>
      </c>
      <c r="M563">
        <v>0</v>
      </c>
      <c r="AA563">
        <v>43000</v>
      </c>
      <c r="AG563">
        <v>0</v>
      </c>
      <c r="AH563">
        <v>0</v>
      </c>
      <c r="AK563">
        <v>0</v>
      </c>
    </row>
    <row r="564" spans="1:44" x14ac:dyDescent="0.25">
      <c r="A564">
        <v>619</v>
      </c>
      <c r="B564" t="s">
        <v>396</v>
      </c>
      <c r="C564">
        <v>-32.296999999999997</v>
      </c>
      <c r="D564">
        <v>151.02699999999999</v>
      </c>
      <c r="F564">
        <v>0</v>
      </c>
      <c r="AF564">
        <v>600</v>
      </c>
    </row>
    <row r="565" spans="1:44" x14ac:dyDescent="0.25">
      <c r="A565">
        <v>817</v>
      </c>
      <c r="B565" t="s">
        <v>669</v>
      </c>
      <c r="C565">
        <v>-32.330399999999997</v>
      </c>
      <c r="D565">
        <v>152.5334</v>
      </c>
      <c r="N565">
        <v>0</v>
      </c>
      <c r="AC565">
        <v>2384</v>
      </c>
      <c r="AH565">
        <v>0</v>
      </c>
    </row>
    <row r="566" spans="1:44" x14ac:dyDescent="0.25">
      <c r="A566">
        <v>990</v>
      </c>
      <c r="B566" t="s">
        <v>181</v>
      </c>
      <c r="C566">
        <v>-32.332299999999996</v>
      </c>
      <c r="D566">
        <v>152.52940000000001</v>
      </c>
      <c r="AB566">
        <v>1020</v>
      </c>
      <c r="AD566">
        <v>140</v>
      </c>
      <c r="AE566">
        <v>0</v>
      </c>
      <c r="AF566">
        <v>0</v>
      </c>
      <c r="AG566">
        <v>0</v>
      </c>
      <c r="AH566">
        <v>90</v>
      </c>
      <c r="AK566">
        <v>200</v>
      </c>
      <c r="AO566">
        <v>0</v>
      </c>
      <c r="AP566">
        <v>0</v>
      </c>
      <c r="AQ566">
        <v>0</v>
      </c>
      <c r="AR566">
        <v>0</v>
      </c>
    </row>
    <row r="567" spans="1:44" x14ac:dyDescent="0.25">
      <c r="A567">
        <v>17</v>
      </c>
      <c r="B567" t="s">
        <v>670</v>
      </c>
      <c r="C567">
        <v>-32.34194651</v>
      </c>
      <c r="D567">
        <v>152.24764590000001</v>
      </c>
      <c r="F567">
        <v>0</v>
      </c>
      <c r="G567">
        <v>0</v>
      </c>
      <c r="I567">
        <v>0</v>
      </c>
      <c r="L567">
        <v>0</v>
      </c>
      <c r="M567">
        <v>0</v>
      </c>
    </row>
    <row r="568" spans="1:44" x14ac:dyDescent="0.25">
      <c r="A568">
        <v>247</v>
      </c>
      <c r="B568" t="s">
        <v>671</v>
      </c>
      <c r="C568">
        <v>-32.344384689999998</v>
      </c>
      <c r="D568">
        <v>151.93909590000001</v>
      </c>
      <c r="F568">
        <v>0</v>
      </c>
      <c r="G568">
        <v>0</v>
      </c>
      <c r="I568">
        <v>0</v>
      </c>
      <c r="L568">
        <v>0</v>
      </c>
      <c r="M568">
        <v>0</v>
      </c>
      <c r="AE568">
        <v>0</v>
      </c>
      <c r="AP568">
        <v>35000</v>
      </c>
      <c r="AQ568">
        <v>35000</v>
      </c>
      <c r="AR568">
        <v>0</v>
      </c>
    </row>
    <row r="569" spans="1:44" x14ac:dyDescent="0.25">
      <c r="A569">
        <v>107</v>
      </c>
      <c r="B569" t="s">
        <v>182</v>
      </c>
      <c r="C569">
        <v>-32.38492471</v>
      </c>
      <c r="D569">
        <v>152.50271380000001</v>
      </c>
      <c r="E569">
        <v>5000</v>
      </c>
      <c r="F569">
        <v>0</v>
      </c>
      <c r="H569">
        <v>0</v>
      </c>
      <c r="I569">
        <v>300</v>
      </c>
      <c r="J569">
        <v>0</v>
      </c>
      <c r="L569">
        <v>500</v>
      </c>
      <c r="M569">
        <v>350</v>
      </c>
      <c r="P569">
        <v>0</v>
      </c>
      <c r="T569">
        <v>200</v>
      </c>
      <c r="U569">
        <v>50</v>
      </c>
      <c r="W569">
        <v>0</v>
      </c>
      <c r="X569">
        <v>0</v>
      </c>
      <c r="Y569">
        <v>2000</v>
      </c>
      <c r="AA569">
        <v>300</v>
      </c>
      <c r="AB569">
        <v>0</v>
      </c>
      <c r="AC569">
        <v>0</v>
      </c>
      <c r="AD569">
        <v>0</v>
      </c>
      <c r="AE569">
        <v>3000</v>
      </c>
      <c r="AF569">
        <v>2500</v>
      </c>
      <c r="AG569">
        <v>0</v>
      </c>
      <c r="AH569">
        <v>32223</v>
      </c>
      <c r="AK569">
        <v>3500</v>
      </c>
      <c r="AO569">
        <v>6000</v>
      </c>
      <c r="AP569">
        <v>10100</v>
      </c>
      <c r="AQ569">
        <v>10500</v>
      </c>
      <c r="AR569">
        <v>0</v>
      </c>
    </row>
    <row r="570" spans="1:44" x14ac:dyDescent="0.25">
      <c r="A570">
        <v>1002</v>
      </c>
      <c r="B570" t="s">
        <v>183</v>
      </c>
      <c r="C570">
        <v>-32.394799999999996</v>
      </c>
      <c r="D570">
        <v>151.7619</v>
      </c>
      <c r="AD570">
        <v>2000</v>
      </c>
      <c r="AE570">
        <v>0</v>
      </c>
      <c r="AG570">
        <v>0</v>
      </c>
      <c r="AH570">
        <v>500</v>
      </c>
      <c r="AK570">
        <v>0</v>
      </c>
      <c r="AQ570">
        <v>0</v>
      </c>
      <c r="AR570">
        <v>0</v>
      </c>
    </row>
    <row r="571" spans="1:44" x14ac:dyDescent="0.25">
      <c r="A571">
        <v>613</v>
      </c>
      <c r="B571" t="s">
        <v>184</v>
      </c>
      <c r="C571">
        <v>-32.394820000000003</v>
      </c>
      <c r="D571">
        <v>151.49662000000001</v>
      </c>
      <c r="F571">
        <v>0</v>
      </c>
      <c r="G571">
        <v>980</v>
      </c>
      <c r="H571">
        <v>0</v>
      </c>
      <c r="I571">
        <v>0</v>
      </c>
      <c r="J571">
        <v>3600</v>
      </c>
      <c r="K571">
        <v>1800</v>
      </c>
      <c r="L571">
        <v>0</v>
      </c>
      <c r="M571">
        <v>0</v>
      </c>
      <c r="O571">
        <v>0</v>
      </c>
      <c r="P571">
        <v>0</v>
      </c>
      <c r="Q571">
        <v>1850</v>
      </c>
      <c r="R571">
        <v>1300</v>
      </c>
      <c r="S571">
        <v>0</v>
      </c>
      <c r="T571">
        <v>0</v>
      </c>
      <c r="U571">
        <v>1350</v>
      </c>
      <c r="V571">
        <v>1400</v>
      </c>
      <c r="W571">
        <v>0</v>
      </c>
      <c r="X571">
        <v>0</v>
      </c>
      <c r="Y571">
        <v>0</v>
      </c>
      <c r="Z571">
        <v>1900</v>
      </c>
      <c r="AA571">
        <v>0</v>
      </c>
      <c r="AB571">
        <v>0</v>
      </c>
      <c r="AC571">
        <v>0</v>
      </c>
      <c r="AD571">
        <v>7500</v>
      </c>
      <c r="AE571">
        <v>0</v>
      </c>
      <c r="AF571">
        <v>0</v>
      </c>
      <c r="AG571">
        <v>0</v>
      </c>
      <c r="AH571">
        <v>3250</v>
      </c>
      <c r="AK571">
        <v>8500</v>
      </c>
      <c r="AO571">
        <v>0</v>
      </c>
      <c r="AP571">
        <v>15000</v>
      </c>
      <c r="AQ571">
        <v>0</v>
      </c>
      <c r="AR571">
        <v>0</v>
      </c>
    </row>
    <row r="572" spans="1:44" x14ac:dyDescent="0.25">
      <c r="A572">
        <v>86</v>
      </c>
      <c r="B572" t="s">
        <v>672</v>
      </c>
      <c r="C572">
        <v>-32.405805729999997</v>
      </c>
      <c r="D572">
        <v>151.95963399999999</v>
      </c>
      <c r="F572">
        <v>0</v>
      </c>
      <c r="G572">
        <v>0</v>
      </c>
      <c r="I572">
        <v>0</v>
      </c>
      <c r="L572">
        <v>0</v>
      </c>
      <c r="M572">
        <v>0</v>
      </c>
    </row>
    <row r="573" spans="1:44" x14ac:dyDescent="0.25">
      <c r="A573">
        <v>69</v>
      </c>
      <c r="B573" t="s">
        <v>673</v>
      </c>
      <c r="C573">
        <v>-32.407126150000003</v>
      </c>
      <c r="D573">
        <v>151.66097329999999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E573">
        <v>0</v>
      </c>
      <c r="AF573">
        <v>0</v>
      </c>
      <c r="AG573">
        <v>0</v>
      </c>
      <c r="AH573">
        <v>0</v>
      </c>
      <c r="AK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5">
      <c r="A574">
        <v>89</v>
      </c>
      <c r="B574" t="s">
        <v>674</v>
      </c>
      <c r="C574">
        <v>-32.511329850000003</v>
      </c>
      <c r="D574">
        <v>152.05359369999999</v>
      </c>
      <c r="F574">
        <v>0</v>
      </c>
      <c r="I574">
        <v>0</v>
      </c>
      <c r="L574">
        <v>0</v>
      </c>
    </row>
    <row r="575" spans="1:44" x14ac:dyDescent="0.25">
      <c r="A575">
        <v>241</v>
      </c>
      <c r="B575" t="s">
        <v>397</v>
      </c>
      <c r="C575">
        <v>-32.520974500000001</v>
      </c>
      <c r="D575">
        <v>151.80861530000001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35000</v>
      </c>
      <c r="N575">
        <v>75000</v>
      </c>
      <c r="O575">
        <v>0</v>
      </c>
      <c r="P575">
        <v>0</v>
      </c>
      <c r="Q575">
        <v>3800</v>
      </c>
      <c r="R575">
        <v>60000</v>
      </c>
      <c r="S575">
        <v>0</v>
      </c>
      <c r="T575">
        <v>0</v>
      </c>
      <c r="U575">
        <v>0</v>
      </c>
      <c r="V575">
        <v>1400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350</v>
      </c>
      <c r="AD575">
        <v>0</v>
      </c>
      <c r="AE575">
        <v>0</v>
      </c>
      <c r="AF575">
        <v>0</v>
      </c>
      <c r="AG575">
        <v>50</v>
      </c>
      <c r="AH575">
        <v>50</v>
      </c>
      <c r="AK575">
        <v>0</v>
      </c>
      <c r="AO575">
        <v>30000</v>
      </c>
      <c r="AP575">
        <v>75000</v>
      </c>
      <c r="AQ575">
        <v>900</v>
      </c>
      <c r="AR575">
        <v>0</v>
      </c>
    </row>
    <row r="576" spans="1:44" x14ac:dyDescent="0.25">
      <c r="A576">
        <v>627</v>
      </c>
      <c r="B576" t="s">
        <v>675</v>
      </c>
      <c r="C576">
        <v>-32.534700000000001</v>
      </c>
      <c r="D576">
        <v>151.42850000000001</v>
      </c>
      <c r="F576">
        <v>0</v>
      </c>
    </row>
    <row r="577" spans="1:44" x14ac:dyDescent="0.25">
      <c r="A577">
        <v>225</v>
      </c>
      <c r="B577" t="s">
        <v>398</v>
      </c>
      <c r="C577">
        <v>-32.542952190000001</v>
      </c>
      <c r="D577">
        <v>148.9299259</v>
      </c>
      <c r="E577">
        <v>1100</v>
      </c>
      <c r="F577">
        <v>0</v>
      </c>
      <c r="G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R577">
        <v>0</v>
      </c>
      <c r="T577">
        <v>0</v>
      </c>
      <c r="U577">
        <v>0</v>
      </c>
      <c r="V577">
        <v>0</v>
      </c>
      <c r="X577">
        <v>0</v>
      </c>
      <c r="Y577">
        <v>0</v>
      </c>
      <c r="Z577">
        <v>0</v>
      </c>
      <c r="AA577">
        <v>0</v>
      </c>
      <c r="AC577">
        <v>0</v>
      </c>
    </row>
    <row r="578" spans="1:44" x14ac:dyDescent="0.25">
      <c r="A578">
        <v>634</v>
      </c>
      <c r="B578" t="s">
        <v>48</v>
      </c>
      <c r="C578">
        <v>-32.549999999999997</v>
      </c>
      <c r="D578">
        <v>148.93600000000001</v>
      </c>
      <c r="F578">
        <v>50</v>
      </c>
      <c r="G578">
        <v>331</v>
      </c>
      <c r="H578">
        <v>1174</v>
      </c>
      <c r="I578">
        <v>26</v>
      </c>
      <c r="J578">
        <v>0</v>
      </c>
      <c r="K578">
        <v>515</v>
      </c>
      <c r="L578">
        <v>0</v>
      </c>
      <c r="M578">
        <v>0</v>
      </c>
      <c r="N578">
        <v>11</v>
      </c>
      <c r="O578">
        <v>1712</v>
      </c>
      <c r="P578">
        <v>837</v>
      </c>
      <c r="Q578">
        <v>0</v>
      </c>
      <c r="R578">
        <v>0</v>
      </c>
      <c r="T578">
        <v>4054</v>
      </c>
      <c r="U578">
        <v>78</v>
      </c>
      <c r="V578">
        <v>152</v>
      </c>
      <c r="W578">
        <v>4500</v>
      </c>
      <c r="X578">
        <v>7500</v>
      </c>
      <c r="Y578">
        <v>3500</v>
      </c>
      <c r="Z578">
        <v>655</v>
      </c>
      <c r="AA578">
        <v>3250</v>
      </c>
      <c r="AC578">
        <v>245</v>
      </c>
      <c r="AD578">
        <v>105</v>
      </c>
      <c r="AE578">
        <v>4700</v>
      </c>
      <c r="AF578">
        <v>4450</v>
      </c>
      <c r="AG578">
        <v>0</v>
      </c>
      <c r="AH578">
        <v>0</v>
      </c>
      <c r="AK578">
        <v>420</v>
      </c>
      <c r="AO578">
        <v>0</v>
      </c>
    </row>
    <row r="579" spans="1:44" x14ac:dyDescent="0.25">
      <c r="A579">
        <v>32</v>
      </c>
      <c r="B579" t="s">
        <v>676</v>
      </c>
      <c r="C579">
        <v>-32.552459329999998</v>
      </c>
      <c r="D579">
        <v>151.41173169999999</v>
      </c>
      <c r="E579">
        <v>0</v>
      </c>
      <c r="F579">
        <v>0</v>
      </c>
      <c r="G579">
        <v>0</v>
      </c>
      <c r="H579">
        <v>0</v>
      </c>
      <c r="L579">
        <v>0</v>
      </c>
    </row>
    <row r="580" spans="1:44" x14ac:dyDescent="0.25">
      <c r="A580">
        <v>640</v>
      </c>
      <c r="B580" t="s">
        <v>677</v>
      </c>
      <c r="C580">
        <v>-32.553699999999999</v>
      </c>
      <c r="D580">
        <v>152.29490000000001</v>
      </c>
      <c r="F580">
        <v>0</v>
      </c>
    </row>
    <row r="581" spans="1:44" x14ac:dyDescent="0.25">
      <c r="A581">
        <v>1208</v>
      </c>
      <c r="B581" t="s">
        <v>814</v>
      </c>
      <c r="C581">
        <v>-32.561100000000003</v>
      </c>
      <c r="D581">
        <v>151.1686</v>
      </c>
      <c r="AK581">
        <v>14500</v>
      </c>
      <c r="AO581">
        <v>25000</v>
      </c>
      <c r="AP581">
        <v>18139</v>
      </c>
      <c r="AQ581">
        <v>0</v>
      </c>
      <c r="AR581">
        <v>0</v>
      </c>
    </row>
    <row r="582" spans="1:44" x14ac:dyDescent="0.25">
      <c r="A582">
        <v>109</v>
      </c>
      <c r="B582" t="s">
        <v>185</v>
      </c>
      <c r="C582">
        <v>-32.563895969999997</v>
      </c>
      <c r="D582">
        <v>151.17590480000001</v>
      </c>
      <c r="E582">
        <v>1396</v>
      </c>
      <c r="F582">
        <v>938</v>
      </c>
      <c r="G582">
        <v>6595</v>
      </c>
      <c r="H582">
        <v>2626</v>
      </c>
      <c r="J582">
        <v>0</v>
      </c>
      <c r="M582">
        <v>1129</v>
      </c>
      <c r="P582">
        <v>1400</v>
      </c>
      <c r="R582">
        <v>4572</v>
      </c>
      <c r="S582">
        <v>2000</v>
      </c>
      <c r="T582">
        <v>810</v>
      </c>
      <c r="U582">
        <v>1796</v>
      </c>
      <c r="V582">
        <v>1090</v>
      </c>
      <c r="W582">
        <v>182</v>
      </c>
      <c r="X582">
        <v>1150</v>
      </c>
      <c r="Y582">
        <v>1850</v>
      </c>
      <c r="Z582">
        <v>1500</v>
      </c>
      <c r="AA582">
        <v>640</v>
      </c>
      <c r="AB582">
        <v>760</v>
      </c>
      <c r="AC582">
        <v>1920</v>
      </c>
      <c r="AE582">
        <v>2300</v>
      </c>
      <c r="AF582">
        <v>640</v>
      </c>
      <c r="AG582">
        <v>2500</v>
      </c>
      <c r="AH582">
        <v>2000</v>
      </c>
      <c r="AO582">
        <v>0</v>
      </c>
      <c r="AP582">
        <v>0</v>
      </c>
      <c r="AQ582">
        <v>0</v>
      </c>
      <c r="AR582">
        <v>0</v>
      </c>
    </row>
    <row r="583" spans="1:44" x14ac:dyDescent="0.25">
      <c r="A583">
        <v>786</v>
      </c>
      <c r="B583" t="s">
        <v>678</v>
      </c>
      <c r="C583">
        <v>-32.5822</v>
      </c>
      <c r="D583">
        <v>151.78450000000001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250</v>
      </c>
      <c r="AH583">
        <v>2000</v>
      </c>
      <c r="AK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5">
      <c r="A584">
        <v>80</v>
      </c>
      <c r="B584" t="s">
        <v>679</v>
      </c>
      <c r="C584">
        <v>-32.59064515</v>
      </c>
      <c r="D584">
        <v>151.5620083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Q584">
        <v>0</v>
      </c>
      <c r="R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E584">
        <v>0</v>
      </c>
      <c r="AF584">
        <v>0</v>
      </c>
      <c r="AG584">
        <v>0</v>
      </c>
      <c r="AH584">
        <v>0</v>
      </c>
      <c r="AK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5">
      <c r="A585">
        <v>944</v>
      </c>
      <c r="B585" t="s">
        <v>186</v>
      </c>
      <c r="C585">
        <v>-32.595700000000001</v>
      </c>
      <c r="D585">
        <v>149.60175100000001</v>
      </c>
      <c r="Y585">
        <v>4000</v>
      </c>
      <c r="Z585">
        <v>1655</v>
      </c>
      <c r="AA585">
        <v>230</v>
      </c>
      <c r="AC585">
        <v>0</v>
      </c>
      <c r="AD585">
        <v>320</v>
      </c>
      <c r="AE585">
        <v>0</v>
      </c>
      <c r="AF585">
        <v>0</v>
      </c>
      <c r="AG585">
        <v>0</v>
      </c>
      <c r="AH585">
        <v>0</v>
      </c>
      <c r="AK585">
        <v>165</v>
      </c>
      <c r="AO585">
        <v>690</v>
      </c>
      <c r="AQ585">
        <v>0</v>
      </c>
      <c r="AR585">
        <v>8950</v>
      </c>
    </row>
    <row r="586" spans="1:44" x14ac:dyDescent="0.25">
      <c r="A586">
        <v>521</v>
      </c>
      <c r="B586" t="s">
        <v>187</v>
      </c>
      <c r="C586">
        <v>-32.617899999999999</v>
      </c>
      <c r="D586">
        <v>151.5926</v>
      </c>
      <c r="E586">
        <v>290</v>
      </c>
      <c r="F586">
        <v>500</v>
      </c>
      <c r="G586">
        <v>460</v>
      </c>
      <c r="H586">
        <v>0</v>
      </c>
      <c r="I586">
        <v>0</v>
      </c>
      <c r="J586">
        <v>3200</v>
      </c>
      <c r="K586">
        <v>850</v>
      </c>
      <c r="L586">
        <v>820</v>
      </c>
      <c r="M586">
        <v>1500</v>
      </c>
      <c r="N586">
        <v>9500</v>
      </c>
      <c r="O586">
        <v>0</v>
      </c>
      <c r="P586">
        <v>0</v>
      </c>
      <c r="Q586">
        <v>2500</v>
      </c>
      <c r="R586">
        <v>15000</v>
      </c>
      <c r="S586">
        <v>0</v>
      </c>
      <c r="T586">
        <v>0</v>
      </c>
      <c r="U586">
        <v>0</v>
      </c>
      <c r="V586">
        <v>240</v>
      </c>
      <c r="W586">
        <v>7000</v>
      </c>
      <c r="X586">
        <v>0</v>
      </c>
      <c r="Y586">
        <v>0</v>
      </c>
      <c r="Z586">
        <v>190</v>
      </c>
      <c r="AA586">
        <v>350</v>
      </c>
      <c r="AB586">
        <v>0</v>
      </c>
      <c r="AC586">
        <v>260</v>
      </c>
      <c r="AE586">
        <v>480</v>
      </c>
      <c r="AF586">
        <v>300</v>
      </c>
      <c r="AG586">
        <v>5500</v>
      </c>
      <c r="AH586">
        <v>2500</v>
      </c>
      <c r="AK586">
        <v>1400</v>
      </c>
      <c r="AO586">
        <v>50000</v>
      </c>
      <c r="AP586">
        <v>20000</v>
      </c>
      <c r="AQ586">
        <v>0</v>
      </c>
      <c r="AR586">
        <v>0</v>
      </c>
    </row>
    <row r="587" spans="1:44" x14ac:dyDescent="0.25">
      <c r="A587">
        <v>46</v>
      </c>
      <c r="B587" t="s">
        <v>680</v>
      </c>
      <c r="C587">
        <v>-32.660835230000004</v>
      </c>
      <c r="D587">
        <v>151.805217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O587">
        <v>0</v>
      </c>
      <c r="AA587">
        <v>0</v>
      </c>
      <c r="AB587">
        <v>0</v>
      </c>
      <c r="AD587">
        <v>0</v>
      </c>
    </row>
    <row r="588" spans="1:44" x14ac:dyDescent="0.25">
      <c r="A588">
        <v>135</v>
      </c>
      <c r="B588" t="s">
        <v>188</v>
      </c>
      <c r="C588">
        <v>-32.666684340000003</v>
      </c>
      <c r="D588">
        <v>152.1743434</v>
      </c>
      <c r="F588">
        <v>0</v>
      </c>
      <c r="G588">
        <v>0</v>
      </c>
      <c r="I588">
        <v>0</v>
      </c>
      <c r="L588">
        <v>0</v>
      </c>
      <c r="M588">
        <v>0</v>
      </c>
      <c r="AE588">
        <v>5500</v>
      </c>
      <c r="AG588">
        <v>0</v>
      </c>
      <c r="AH588">
        <v>2300</v>
      </c>
      <c r="AK588">
        <v>300</v>
      </c>
      <c r="AO588">
        <v>0</v>
      </c>
      <c r="AR588">
        <v>0</v>
      </c>
    </row>
    <row r="589" spans="1:44" x14ac:dyDescent="0.25">
      <c r="A589">
        <v>1282</v>
      </c>
      <c r="B589" t="s">
        <v>815</v>
      </c>
      <c r="C589">
        <v>-32.666800000000002</v>
      </c>
      <c r="D589">
        <v>152.1739</v>
      </c>
      <c r="AP589">
        <v>2500</v>
      </c>
      <c r="AQ589">
        <v>8000</v>
      </c>
    </row>
    <row r="590" spans="1:44" x14ac:dyDescent="0.25">
      <c r="A590">
        <v>105</v>
      </c>
      <c r="B590" t="s">
        <v>399</v>
      </c>
      <c r="C590">
        <v>-32.703970349999999</v>
      </c>
      <c r="D590">
        <v>152.0024895</v>
      </c>
      <c r="F590">
        <v>0</v>
      </c>
      <c r="G590">
        <v>0</v>
      </c>
      <c r="L590">
        <v>20</v>
      </c>
      <c r="M590">
        <v>4030</v>
      </c>
      <c r="S590">
        <v>0</v>
      </c>
      <c r="T590">
        <v>0</v>
      </c>
      <c r="U590">
        <v>28</v>
      </c>
    </row>
    <row r="591" spans="1:44" x14ac:dyDescent="0.25">
      <c r="A591">
        <v>810</v>
      </c>
      <c r="B591" t="s">
        <v>400</v>
      </c>
      <c r="C591">
        <v>-32.726900000000001</v>
      </c>
      <c r="D591">
        <v>151.55250000000001</v>
      </c>
      <c r="L591">
        <v>1200</v>
      </c>
      <c r="M591">
        <v>3500</v>
      </c>
      <c r="N591">
        <v>5600</v>
      </c>
      <c r="O591">
        <v>2250</v>
      </c>
      <c r="P591">
        <v>0</v>
      </c>
      <c r="Q591">
        <v>0</v>
      </c>
      <c r="R591">
        <v>800</v>
      </c>
      <c r="S591">
        <v>0</v>
      </c>
      <c r="T591">
        <v>0</v>
      </c>
      <c r="U591">
        <v>3156</v>
      </c>
      <c r="V591">
        <v>1450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K591">
        <v>0</v>
      </c>
      <c r="AO591">
        <v>0</v>
      </c>
      <c r="AP591">
        <v>2004</v>
      </c>
      <c r="AQ591">
        <v>0</v>
      </c>
      <c r="AR591">
        <v>0</v>
      </c>
    </row>
    <row r="592" spans="1:44" x14ac:dyDescent="0.25">
      <c r="A592">
        <v>380</v>
      </c>
      <c r="B592" t="s">
        <v>401</v>
      </c>
      <c r="C592">
        <v>-32.729336109999998</v>
      </c>
      <c r="D592">
        <v>151.55804169999999</v>
      </c>
      <c r="E592">
        <v>1750</v>
      </c>
      <c r="F592">
        <v>1400</v>
      </c>
      <c r="G592">
        <v>1650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K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5">
      <c r="A593">
        <v>929</v>
      </c>
      <c r="B593" t="s">
        <v>189</v>
      </c>
      <c r="C593">
        <v>-32.740200000000002</v>
      </c>
      <c r="D593">
        <v>151.60470000000001</v>
      </c>
      <c r="W593">
        <v>200</v>
      </c>
      <c r="X593">
        <v>900</v>
      </c>
      <c r="Y593">
        <v>850</v>
      </c>
      <c r="Z593">
        <v>345</v>
      </c>
      <c r="AA593">
        <v>360</v>
      </c>
      <c r="AB593">
        <v>340</v>
      </c>
      <c r="AC593">
        <v>320</v>
      </c>
      <c r="AD593">
        <v>1460</v>
      </c>
      <c r="AE593">
        <v>0</v>
      </c>
      <c r="AF593">
        <v>360</v>
      </c>
      <c r="AG593">
        <v>2000</v>
      </c>
      <c r="AH593">
        <v>1800</v>
      </c>
      <c r="AK593">
        <v>0</v>
      </c>
      <c r="AP593">
        <v>703</v>
      </c>
      <c r="AQ593">
        <v>0</v>
      </c>
    </row>
    <row r="594" spans="1:44" x14ac:dyDescent="0.25">
      <c r="A594">
        <v>248</v>
      </c>
      <c r="B594" t="s">
        <v>402</v>
      </c>
      <c r="C594">
        <v>-32.751741709999997</v>
      </c>
      <c r="D594">
        <v>151.8909452</v>
      </c>
      <c r="F594">
        <v>10000</v>
      </c>
      <c r="G594">
        <v>495</v>
      </c>
      <c r="H594">
        <v>0</v>
      </c>
      <c r="I594">
        <v>0</v>
      </c>
      <c r="J594">
        <v>623</v>
      </c>
      <c r="K594">
        <v>0</v>
      </c>
      <c r="M594">
        <v>0</v>
      </c>
      <c r="N594">
        <v>312</v>
      </c>
      <c r="O594">
        <v>0</v>
      </c>
      <c r="AA594">
        <v>0</v>
      </c>
      <c r="AB594">
        <v>0</v>
      </c>
      <c r="AE594">
        <v>0</v>
      </c>
    </row>
    <row r="595" spans="1:44" x14ac:dyDescent="0.25">
      <c r="A595">
        <v>6</v>
      </c>
      <c r="B595" t="s">
        <v>681</v>
      </c>
      <c r="C595">
        <v>-32.75492964</v>
      </c>
      <c r="D595">
        <v>152.08727210000001</v>
      </c>
      <c r="F595">
        <v>0</v>
      </c>
      <c r="G595">
        <v>0</v>
      </c>
      <c r="I595">
        <v>0</v>
      </c>
      <c r="L595">
        <v>0</v>
      </c>
      <c r="M595">
        <v>0</v>
      </c>
      <c r="N595">
        <v>0</v>
      </c>
      <c r="O595">
        <v>0</v>
      </c>
      <c r="AA595">
        <v>0</v>
      </c>
      <c r="AB595">
        <v>0</v>
      </c>
    </row>
    <row r="596" spans="1:44" x14ac:dyDescent="0.25">
      <c r="A596">
        <v>625</v>
      </c>
      <c r="B596" t="s">
        <v>49</v>
      </c>
      <c r="C596">
        <v>-32.759535</v>
      </c>
      <c r="D596">
        <v>151.75227100000001</v>
      </c>
      <c r="F596">
        <v>1500</v>
      </c>
      <c r="G596">
        <v>4096</v>
      </c>
      <c r="H596">
        <v>6564</v>
      </c>
      <c r="I596">
        <v>715</v>
      </c>
      <c r="J596">
        <v>1619</v>
      </c>
      <c r="K596">
        <v>5770</v>
      </c>
      <c r="L596">
        <v>1150</v>
      </c>
      <c r="M596">
        <v>8761</v>
      </c>
      <c r="N596">
        <v>10767</v>
      </c>
      <c r="O596">
        <v>10522</v>
      </c>
      <c r="P596">
        <v>5476</v>
      </c>
      <c r="Q596">
        <v>2700</v>
      </c>
      <c r="R596">
        <v>1820</v>
      </c>
      <c r="S596">
        <v>5500</v>
      </c>
      <c r="T596">
        <v>5355</v>
      </c>
      <c r="U596">
        <v>1326</v>
      </c>
      <c r="V596">
        <v>3286</v>
      </c>
      <c r="X596">
        <v>11351</v>
      </c>
      <c r="Z596">
        <v>1800</v>
      </c>
      <c r="AA596">
        <v>4660</v>
      </c>
      <c r="AB596">
        <v>1565</v>
      </c>
      <c r="AC596">
        <v>8860</v>
      </c>
      <c r="AD596">
        <v>8560</v>
      </c>
      <c r="AE596">
        <v>14766</v>
      </c>
      <c r="AF596">
        <v>11525</v>
      </c>
      <c r="AG596">
        <v>12504</v>
      </c>
      <c r="AK596">
        <v>7750</v>
      </c>
      <c r="AP596">
        <v>16500</v>
      </c>
      <c r="AR596">
        <v>1300</v>
      </c>
    </row>
    <row r="597" spans="1:44" x14ac:dyDescent="0.25">
      <c r="A597">
        <v>607</v>
      </c>
      <c r="B597" t="s">
        <v>403</v>
      </c>
      <c r="C597">
        <v>-32.762340000000002</v>
      </c>
      <c r="D597">
        <v>152.05824999999999</v>
      </c>
      <c r="F597">
        <v>0</v>
      </c>
      <c r="G597">
        <v>0</v>
      </c>
      <c r="K597">
        <v>0</v>
      </c>
      <c r="N597">
        <v>90300</v>
      </c>
      <c r="O597">
        <v>750</v>
      </c>
      <c r="AA597">
        <v>0</v>
      </c>
      <c r="AB597">
        <v>0</v>
      </c>
      <c r="AE597">
        <v>0</v>
      </c>
    </row>
    <row r="598" spans="1:44" x14ac:dyDescent="0.25">
      <c r="A598">
        <v>334</v>
      </c>
      <c r="B598" t="s">
        <v>50</v>
      </c>
      <c r="C598">
        <v>-32.827199999999998</v>
      </c>
      <c r="D598">
        <v>151.37190000000001</v>
      </c>
      <c r="F598">
        <v>0</v>
      </c>
      <c r="G598">
        <v>3152</v>
      </c>
      <c r="H598">
        <v>6200</v>
      </c>
      <c r="I598">
        <v>6500</v>
      </c>
      <c r="J598">
        <v>2500</v>
      </c>
      <c r="K598">
        <v>701</v>
      </c>
      <c r="L598">
        <v>550</v>
      </c>
      <c r="M598">
        <v>1200</v>
      </c>
      <c r="N598">
        <v>22000</v>
      </c>
      <c r="O598">
        <v>0</v>
      </c>
      <c r="P598">
        <v>0</v>
      </c>
      <c r="Q598">
        <v>4500</v>
      </c>
      <c r="R598">
        <v>15000</v>
      </c>
      <c r="S598">
        <v>12000</v>
      </c>
      <c r="T598">
        <v>9300</v>
      </c>
      <c r="U598">
        <v>1600</v>
      </c>
      <c r="V598">
        <v>2100</v>
      </c>
      <c r="W598">
        <v>4500</v>
      </c>
      <c r="X598">
        <v>2600</v>
      </c>
      <c r="Y598">
        <v>1100</v>
      </c>
      <c r="Z598">
        <v>1800</v>
      </c>
      <c r="AA598">
        <v>650</v>
      </c>
      <c r="AB598">
        <v>0</v>
      </c>
      <c r="AC598">
        <v>7300</v>
      </c>
      <c r="AD598">
        <v>10000</v>
      </c>
      <c r="AE598">
        <v>1400</v>
      </c>
      <c r="AF598">
        <v>650</v>
      </c>
      <c r="AG598">
        <v>8000</v>
      </c>
      <c r="AH598">
        <v>3000</v>
      </c>
      <c r="AK598">
        <v>1900</v>
      </c>
      <c r="AO598">
        <v>30000</v>
      </c>
      <c r="AP598">
        <v>24000</v>
      </c>
      <c r="AQ598">
        <v>35000</v>
      </c>
      <c r="AR598">
        <v>8000</v>
      </c>
    </row>
    <row r="599" spans="1:44" x14ac:dyDescent="0.25">
      <c r="A599">
        <v>43</v>
      </c>
      <c r="B599" t="s">
        <v>682</v>
      </c>
      <c r="C599">
        <v>-32.848769840000003</v>
      </c>
      <c r="D599">
        <v>151.76854270000001</v>
      </c>
      <c r="F599">
        <v>0</v>
      </c>
      <c r="G599">
        <v>0</v>
      </c>
      <c r="AA599">
        <v>0</v>
      </c>
      <c r="AB599">
        <v>0</v>
      </c>
    </row>
    <row r="600" spans="1:44" x14ac:dyDescent="0.25">
      <c r="A600">
        <v>13</v>
      </c>
      <c r="B600" t="s">
        <v>683</v>
      </c>
      <c r="C600">
        <v>-32.85001853</v>
      </c>
      <c r="D600">
        <v>151.58805240000001</v>
      </c>
      <c r="F600">
        <v>0</v>
      </c>
      <c r="G600">
        <v>0</v>
      </c>
      <c r="H600">
        <v>0</v>
      </c>
      <c r="I600">
        <v>0</v>
      </c>
      <c r="M600">
        <v>0</v>
      </c>
      <c r="N600">
        <v>0</v>
      </c>
      <c r="O600">
        <v>0</v>
      </c>
    </row>
    <row r="601" spans="1:44" x14ac:dyDescent="0.25">
      <c r="A601">
        <v>829</v>
      </c>
      <c r="B601" t="s">
        <v>684</v>
      </c>
      <c r="C601">
        <v>-32.86803192</v>
      </c>
      <c r="D601">
        <v>151.27185359999999</v>
      </c>
      <c r="O601">
        <v>0</v>
      </c>
    </row>
    <row r="602" spans="1:44" x14ac:dyDescent="0.25">
      <c r="A602">
        <v>608</v>
      </c>
      <c r="B602" t="s">
        <v>190</v>
      </c>
      <c r="C602">
        <v>-32.90824688</v>
      </c>
      <c r="D602">
        <v>151.76253059999999</v>
      </c>
      <c r="F602">
        <v>1456</v>
      </c>
      <c r="G602">
        <v>3825</v>
      </c>
      <c r="H602">
        <v>530</v>
      </c>
      <c r="I602">
        <v>0</v>
      </c>
      <c r="J602">
        <v>9113</v>
      </c>
      <c r="K602">
        <v>1382</v>
      </c>
      <c r="L602">
        <v>2065</v>
      </c>
      <c r="M602">
        <v>7387</v>
      </c>
      <c r="N602">
        <v>15413</v>
      </c>
      <c r="O602">
        <v>4394</v>
      </c>
      <c r="P602">
        <v>5126</v>
      </c>
      <c r="Q602">
        <v>0</v>
      </c>
      <c r="R602">
        <v>11422</v>
      </c>
      <c r="S602">
        <v>5777</v>
      </c>
      <c r="T602">
        <v>4764</v>
      </c>
      <c r="U602">
        <v>0</v>
      </c>
      <c r="V602">
        <v>2500</v>
      </c>
      <c r="W602">
        <v>1590</v>
      </c>
      <c r="X602">
        <v>41</v>
      </c>
      <c r="Y602">
        <v>494</v>
      </c>
      <c r="Z602">
        <v>2214</v>
      </c>
      <c r="AA602">
        <v>1123</v>
      </c>
      <c r="AC602">
        <v>942</v>
      </c>
      <c r="AD602">
        <v>0</v>
      </c>
      <c r="AE602">
        <v>2381</v>
      </c>
      <c r="AF602">
        <v>1181</v>
      </c>
      <c r="AO602">
        <v>8000</v>
      </c>
      <c r="AP602">
        <v>4189</v>
      </c>
    </row>
    <row r="603" spans="1:44" x14ac:dyDescent="0.25">
      <c r="A603">
        <v>99</v>
      </c>
      <c r="B603" t="s">
        <v>191</v>
      </c>
      <c r="C603">
        <v>-32.935197029999998</v>
      </c>
      <c r="D603">
        <v>151.6907162</v>
      </c>
      <c r="E603">
        <v>1491</v>
      </c>
      <c r="F603">
        <v>1725</v>
      </c>
      <c r="G603">
        <v>1382</v>
      </c>
      <c r="H603">
        <v>0</v>
      </c>
      <c r="J603">
        <v>13658</v>
      </c>
      <c r="K603">
        <v>1420</v>
      </c>
      <c r="L603">
        <v>815</v>
      </c>
      <c r="M603">
        <v>11180</v>
      </c>
      <c r="N603">
        <v>7341</v>
      </c>
      <c r="P603">
        <v>7962</v>
      </c>
      <c r="Q603">
        <v>2348</v>
      </c>
      <c r="R603">
        <v>0</v>
      </c>
      <c r="T603">
        <v>5978</v>
      </c>
      <c r="U603">
        <v>250</v>
      </c>
      <c r="V603">
        <v>2600</v>
      </c>
      <c r="W603">
        <v>1673</v>
      </c>
      <c r="X603">
        <v>1948</v>
      </c>
      <c r="Y603">
        <v>3413</v>
      </c>
      <c r="Z603">
        <v>7643</v>
      </c>
      <c r="AA603">
        <v>815</v>
      </c>
      <c r="AB603">
        <v>1440</v>
      </c>
      <c r="AC603">
        <v>3500</v>
      </c>
      <c r="AE603">
        <v>1944</v>
      </c>
      <c r="AF603">
        <v>6492</v>
      </c>
      <c r="AK603">
        <v>1095</v>
      </c>
      <c r="AP603">
        <v>2500</v>
      </c>
    </row>
    <row r="604" spans="1:44" x14ac:dyDescent="0.25">
      <c r="A604">
        <v>44</v>
      </c>
      <c r="B604" t="s">
        <v>685</v>
      </c>
      <c r="C604">
        <v>-32.959448039999998</v>
      </c>
      <c r="D604">
        <v>151.7278732</v>
      </c>
      <c r="F604">
        <v>0</v>
      </c>
      <c r="G604">
        <v>0</v>
      </c>
      <c r="H604">
        <v>0</v>
      </c>
      <c r="I604">
        <v>0</v>
      </c>
      <c r="N604">
        <v>0</v>
      </c>
    </row>
    <row r="605" spans="1:44" x14ac:dyDescent="0.25">
      <c r="A605">
        <v>605</v>
      </c>
      <c r="B605" t="s">
        <v>192</v>
      </c>
      <c r="C605">
        <v>-33.007863</v>
      </c>
      <c r="D605">
        <v>151.58883</v>
      </c>
      <c r="F605">
        <v>5000</v>
      </c>
      <c r="G605">
        <v>0</v>
      </c>
      <c r="H605">
        <v>0</v>
      </c>
      <c r="I605">
        <v>0</v>
      </c>
      <c r="J605">
        <v>304</v>
      </c>
      <c r="K605">
        <v>800</v>
      </c>
      <c r="L605">
        <v>0</v>
      </c>
      <c r="M605">
        <v>0</v>
      </c>
      <c r="N605">
        <v>1042</v>
      </c>
      <c r="O605">
        <v>4380</v>
      </c>
      <c r="P605">
        <v>0</v>
      </c>
      <c r="Q605">
        <v>137</v>
      </c>
      <c r="R605">
        <v>3728</v>
      </c>
      <c r="S605">
        <v>30612</v>
      </c>
      <c r="T605">
        <v>0</v>
      </c>
      <c r="U605">
        <v>500</v>
      </c>
      <c r="V605">
        <v>2369</v>
      </c>
      <c r="W605">
        <v>0</v>
      </c>
      <c r="X605">
        <v>0</v>
      </c>
      <c r="Y605">
        <v>840</v>
      </c>
      <c r="Z605">
        <v>1765</v>
      </c>
      <c r="AA605">
        <v>3213</v>
      </c>
      <c r="AB605">
        <v>0</v>
      </c>
      <c r="AC605">
        <v>0</v>
      </c>
      <c r="AE605">
        <v>0</v>
      </c>
      <c r="AF605">
        <v>0</v>
      </c>
      <c r="AP605">
        <v>0</v>
      </c>
    </row>
    <row r="606" spans="1:44" x14ac:dyDescent="0.25">
      <c r="A606">
        <v>60</v>
      </c>
      <c r="B606" t="s">
        <v>686</v>
      </c>
      <c r="C606">
        <v>-33.017755579999999</v>
      </c>
      <c r="D606">
        <v>151.41130759999999</v>
      </c>
      <c r="F606">
        <v>0</v>
      </c>
      <c r="G606">
        <v>0</v>
      </c>
      <c r="I606">
        <v>0</v>
      </c>
      <c r="K606">
        <v>0</v>
      </c>
      <c r="M606">
        <v>0</v>
      </c>
      <c r="O606">
        <v>0</v>
      </c>
      <c r="P606">
        <v>0</v>
      </c>
      <c r="T606">
        <v>0</v>
      </c>
      <c r="AF606">
        <v>0</v>
      </c>
    </row>
    <row r="607" spans="1:44" x14ac:dyDescent="0.25">
      <c r="A607">
        <v>11</v>
      </c>
      <c r="B607" t="s">
        <v>687</v>
      </c>
      <c r="C607">
        <v>-33.041360939999997</v>
      </c>
      <c r="D607">
        <v>151.67075019999999</v>
      </c>
      <c r="F607">
        <v>0</v>
      </c>
      <c r="G607">
        <v>0</v>
      </c>
      <c r="H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AA607">
        <v>0</v>
      </c>
      <c r="AB607">
        <v>0</v>
      </c>
      <c r="AD607">
        <v>0</v>
      </c>
      <c r="AE607">
        <v>0</v>
      </c>
      <c r="AF607">
        <v>0</v>
      </c>
      <c r="AO607">
        <v>0</v>
      </c>
    </row>
    <row r="608" spans="1:44" x14ac:dyDescent="0.25">
      <c r="A608">
        <v>919</v>
      </c>
      <c r="B608" t="s">
        <v>688</v>
      </c>
      <c r="C608">
        <v>-33.0899</v>
      </c>
      <c r="D608">
        <v>148.86930000000001</v>
      </c>
      <c r="Y608">
        <v>0</v>
      </c>
      <c r="Z608">
        <v>0</v>
      </c>
      <c r="AA608">
        <v>0</v>
      </c>
      <c r="AC608">
        <v>0</v>
      </c>
      <c r="AD608">
        <v>0</v>
      </c>
      <c r="AQ608">
        <v>0</v>
      </c>
    </row>
    <row r="609" spans="1:44" x14ac:dyDescent="0.25">
      <c r="A609">
        <v>397</v>
      </c>
      <c r="B609" t="s">
        <v>193</v>
      </c>
      <c r="C609">
        <v>-33.116011540000002</v>
      </c>
      <c r="D609">
        <v>151.4258844</v>
      </c>
      <c r="F609">
        <v>0</v>
      </c>
      <c r="G609">
        <v>0</v>
      </c>
      <c r="I609">
        <v>0</v>
      </c>
      <c r="J609">
        <v>8275</v>
      </c>
      <c r="K609">
        <v>0</v>
      </c>
      <c r="M609">
        <v>0</v>
      </c>
      <c r="N609">
        <v>1400</v>
      </c>
      <c r="O609">
        <v>0</v>
      </c>
      <c r="P609">
        <v>0</v>
      </c>
      <c r="Q609">
        <v>2101</v>
      </c>
      <c r="R609">
        <v>33747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100</v>
      </c>
      <c r="AA609">
        <v>0</v>
      </c>
      <c r="AB609">
        <v>0</v>
      </c>
      <c r="AC609">
        <v>0</v>
      </c>
      <c r="AD609">
        <v>2528</v>
      </c>
      <c r="AE609">
        <v>0</v>
      </c>
      <c r="AF609">
        <v>0</v>
      </c>
      <c r="AG609">
        <v>3486</v>
      </c>
      <c r="AH609">
        <v>0</v>
      </c>
      <c r="AK609">
        <v>0</v>
      </c>
      <c r="AO609">
        <v>0</v>
      </c>
      <c r="AP609">
        <v>5000</v>
      </c>
      <c r="AR609">
        <v>0</v>
      </c>
    </row>
    <row r="610" spans="1:44" x14ac:dyDescent="0.25">
      <c r="A610">
        <v>834</v>
      </c>
      <c r="B610" t="s">
        <v>404</v>
      </c>
      <c r="C610">
        <v>-33.149299999999997</v>
      </c>
      <c r="D610">
        <v>148.19720000000001</v>
      </c>
      <c r="O610">
        <v>0</v>
      </c>
      <c r="X610">
        <v>0</v>
      </c>
      <c r="Y610">
        <v>0</v>
      </c>
      <c r="Z610">
        <v>0</v>
      </c>
      <c r="AA610">
        <v>0</v>
      </c>
      <c r="AC610">
        <v>0</v>
      </c>
      <c r="AD610">
        <v>0</v>
      </c>
      <c r="AE610">
        <v>0</v>
      </c>
      <c r="AH610">
        <v>0</v>
      </c>
      <c r="AP610">
        <v>0</v>
      </c>
      <c r="AR610">
        <v>0</v>
      </c>
    </row>
    <row r="611" spans="1:44" x14ac:dyDescent="0.25">
      <c r="A611">
        <v>48</v>
      </c>
      <c r="B611" t="s">
        <v>689</v>
      </c>
      <c r="C611">
        <v>-33.248680469999996</v>
      </c>
      <c r="D611">
        <v>151.36879110000001</v>
      </c>
      <c r="F611">
        <v>0</v>
      </c>
      <c r="G611">
        <v>0</v>
      </c>
      <c r="H611">
        <v>0</v>
      </c>
      <c r="I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T611">
        <v>0</v>
      </c>
      <c r="AF611">
        <v>0</v>
      </c>
    </row>
    <row r="612" spans="1:44" x14ac:dyDescent="0.25">
      <c r="A612">
        <v>646</v>
      </c>
      <c r="B612" t="s">
        <v>51</v>
      </c>
      <c r="C612">
        <v>-33.268689999999999</v>
      </c>
      <c r="D612">
        <v>151.41612799999999</v>
      </c>
      <c r="G612">
        <v>0</v>
      </c>
      <c r="H612">
        <v>0</v>
      </c>
      <c r="I612">
        <v>0</v>
      </c>
      <c r="M612">
        <v>0</v>
      </c>
      <c r="N612">
        <v>0</v>
      </c>
      <c r="O612">
        <v>1915</v>
      </c>
      <c r="P612">
        <v>0</v>
      </c>
      <c r="Q612">
        <v>6800</v>
      </c>
      <c r="R612">
        <v>0</v>
      </c>
      <c r="S612">
        <v>0</v>
      </c>
      <c r="T612">
        <v>0</v>
      </c>
      <c r="U612">
        <v>0</v>
      </c>
      <c r="V612">
        <v>1805</v>
      </c>
      <c r="W612">
        <v>4497</v>
      </c>
      <c r="X612">
        <v>0</v>
      </c>
      <c r="Y612">
        <v>0</v>
      </c>
      <c r="AA612">
        <v>5262</v>
      </c>
      <c r="AB612">
        <v>0</v>
      </c>
      <c r="AC612">
        <v>0</v>
      </c>
      <c r="AD612">
        <v>3303</v>
      </c>
      <c r="AE612">
        <v>5000</v>
      </c>
      <c r="AF612">
        <v>0</v>
      </c>
      <c r="AO612">
        <v>0</v>
      </c>
      <c r="AR612">
        <v>0</v>
      </c>
    </row>
    <row r="613" spans="1:44" x14ac:dyDescent="0.25">
      <c r="A613">
        <v>320</v>
      </c>
      <c r="B613" t="s">
        <v>194</v>
      </c>
      <c r="C613">
        <v>-33.283000000000001</v>
      </c>
      <c r="D613">
        <v>149.09</v>
      </c>
      <c r="F613">
        <v>0</v>
      </c>
      <c r="G613">
        <v>0</v>
      </c>
      <c r="H613">
        <v>0</v>
      </c>
      <c r="I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R613">
        <v>0</v>
      </c>
      <c r="U613">
        <v>18</v>
      </c>
      <c r="V613">
        <v>1215</v>
      </c>
      <c r="W613">
        <v>0</v>
      </c>
      <c r="X613">
        <v>0</v>
      </c>
      <c r="Y613">
        <v>0</v>
      </c>
      <c r="Z613">
        <v>1550</v>
      </c>
      <c r="AA613">
        <v>2375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K613">
        <v>0</v>
      </c>
      <c r="AO613">
        <v>0</v>
      </c>
      <c r="AP613">
        <v>0</v>
      </c>
      <c r="AR613">
        <v>0</v>
      </c>
    </row>
    <row r="614" spans="1:44" x14ac:dyDescent="0.25">
      <c r="A614">
        <v>818</v>
      </c>
      <c r="B614" t="s">
        <v>195</v>
      </c>
      <c r="C614">
        <v>-33.292400000000001</v>
      </c>
      <c r="D614">
        <v>149.06739999999999</v>
      </c>
      <c r="M614">
        <v>0</v>
      </c>
      <c r="N614">
        <v>0</v>
      </c>
      <c r="O614">
        <v>0</v>
      </c>
      <c r="Q614">
        <v>0</v>
      </c>
      <c r="R614">
        <v>0</v>
      </c>
      <c r="T614">
        <v>0</v>
      </c>
      <c r="U614">
        <v>0</v>
      </c>
      <c r="V614">
        <v>0</v>
      </c>
      <c r="X614">
        <v>0</v>
      </c>
      <c r="Y614">
        <v>0</v>
      </c>
      <c r="Z614">
        <v>45</v>
      </c>
      <c r="AA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500</v>
      </c>
      <c r="AK614">
        <v>253</v>
      </c>
      <c r="AO614">
        <v>0</v>
      </c>
      <c r="AP614">
        <v>470</v>
      </c>
      <c r="AR614">
        <v>0</v>
      </c>
    </row>
    <row r="615" spans="1:44" x14ac:dyDescent="0.25">
      <c r="A615">
        <v>326</v>
      </c>
      <c r="B615" t="s">
        <v>690</v>
      </c>
      <c r="C615">
        <v>-33.311</v>
      </c>
      <c r="D615">
        <v>149.13300000000001</v>
      </c>
      <c r="F615">
        <v>0</v>
      </c>
      <c r="G615">
        <v>0</v>
      </c>
      <c r="H615">
        <v>0</v>
      </c>
      <c r="I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R615">
        <v>0</v>
      </c>
      <c r="T615">
        <v>0</v>
      </c>
      <c r="U615">
        <v>0</v>
      </c>
      <c r="X615">
        <v>0</v>
      </c>
      <c r="Y615">
        <v>0</v>
      </c>
      <c r="Z615">
        <v>0</v>
      </c>
      <c r="AA615">
        <v>0</v>
      </c>
      <c r="AC615">
        <v>0</v>
      </c>
      <c r="AD615">
        <v>0</v>
      </c>
      <c r="AP615">
        <v>0</v>
      </c>
    </row>
    <row r="616" spans="1:44" x14ac:dyDescent="0.25">
      <c r="A616">
        <v>922</v>
      </c>
      <c r="B616" t="s">
        <v>691</v>
      </c>
      <c r="C616">
        <v>-33.358638999999997</v>
      </c>
      <c r="D616">
        <v>149.98310000000001</v>
      </c>
      <c r="W616">
        <v>0</v>
      </c>
      <c r="X616">
        <v>0</v>
      </c>
      <c r="Y616">
        <v>0</v>
      </c>
      <c r="Z616">
        <v>0</v>
      </c>
      <c r="AA616">
        <v>0</v>
      </c>
      <c r="AC616">
        <v>0</v>
      </c>
      <c r="AD616">
        <v>0</v>
      </c>
    </row>
    <row r="617" spans="1:44" x14ac:dyDescent="0.25">
      <c r="A617">
        <v>61</v>
      </c>
      <c r="B617" t="s">
        <v>692</v>
      </c>
      <c r="C617">
        <v>-33.40180453</v>
      </c>
      <c r="D617">
        <v>151.4403289</v>
      </c>
      <c r="F617">
        <v>0</v>
      </c>
      <c r="G617">
        <v>0</v>
      </c>
      <c r="H617">
        <v>0</v>
      </c>
      <c r="I617">
        <v>0</v>
      </c>
      <c r="L617">
        <v>0</v>
      </c>
      <c r="N617">
        <v>0</v>
      </c>
      <c r="O617">
        <v>0</v>
      </c>
      <c r="P617">
        <v>0</v>
      </c>
    </row>
    <row r="618" spans="1:44" x14ac:dyDescent="0.25">
      <c r="A618">
        <v>262</v>
      </c>
      <c r="B618" t="s">
        <v>405</v>
      </c>
      <c r="C618">
        <v>-33.40762995</v>
      </c>
      <c r="D618">
        <v>151.3694601</v>
      </c>
      <c r="E618">
        <v>0</v>
      </c>
      <c r="F618">
        <v>0</v>
      </c>
      <c r="G618">
        <v>0</v>
      </c>
      <c r="H618">
        <v>0</v>
      </c>
      <c r="I618">
        <v>0</v>
      </c>
      <c r="L618">
        <v>0</v>
      </c>
      <c r="N618">
        <v>5000</v>
      </c>
      <c r="O618">
        <v>0</v>
      </c>
      <c r="P618">
        <v>0</v>
      </c>
      <c r="Q618">
        <v>0</v>
      </c>
      <c r="S618">
        <v>0</v>
      </c>
      <c r="T618">
        <v>0</v>
      </c>
      <c r="AH618">
        <v>5000</v>
      </c>
      <c r="AO618">
        <v>0</v>
      </c>
      <c r="AR618">
        <v>0</v>
      </c>
    </row>
    <row r="619" spans="1:44" x14ac:dyDescent="0.25">
      <c r="A619">
        <v>953</v>
      </c>
      <c r="B619" t="s">
        <v>196</v>
      </c>
      <c r="C619">
        <v>-33.418900000000001</v>
      </c>
      <c r="D619">
        <v>149.57749999999999</v>
      </c>
      <c r="Z619">
        <v>855</v>
      </c>
      <c r="AA619">
        <v>180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300</v>
      </c>
      <c r="AK619">
        <v>300</v>
      </c>
      <c r="AO619">
        <v>145</v>
      </c>
      <c r="AP619">
        <v>708</v>
      </c>
      <c r="AQ619">
        <v>0</v>
      </c>
      <c r="AR619">
        <v>0</v>
      </c>
    </row>
    <row r="620" spans="1:44" x14ac:dyDescent="0.25">
      <c r="A620">
        <v>520</v>
      </c>
      <c r="B620" t="s">
        <v>52</v>
      </c>
      <c r="C620">
        <v>-33.452399999999997</v>
      </c>
      <c r="D620">
        <v>151.4333</v>
      </c>
      <c r="E620">
        <v>0</v>
      </c>
      <c r="F620">
        <v>7000</v>
      </c>
      <c r="G620">
        <v>0</v>
      </c>
      <c r="H620">
        <v>0</v>
      </c>
      <c r="I620">
        <v>0</v>
      </c>
      <c r="L620">
        <v>0</v>
      </c>
      <c r="N620">
        <v>20000</v>
      </c>
      <c r="O620">
        <v>30000</v>
      </c>
      <c r="P620">
        <v>0</v>
      </c>
      <c r="Q620">
        <v>8400</v>
      </c>
      <c r="R620">
        <v>750</v>
      </c>
      <c r="S620">
        <v>200</v>
      </c>
      <c r="T620">
        <v>0</v>
      </c>
      <c r="X620">
        <v>9600</v>
      </c>
      <c r="Y620">
        <v>12500</v>
      </c>
      <c r="AE620">
        <v>10638</v>
      </c>
      <c r="AH620">
        <v>6401</v>
      </c>
      <c r="AR620">
        <v>0</v>
      </c>
    </row>
    <row r="621" spans="1:44" x14ac:dyDescent="0.25">
      <c r="A621">
        <v>895</v>
      </c>
      <c r="B621" t="s">
        <v>406</v>
      </c>
      <c r="C621">
        <v>-33.501399999999997</v>
      </c>
      <c r="D621">
        <v>151.3141</v>
      </c>
      <c r="V621">
        <v>1000</v>
      </c>
      <c r="W621">
        <v>2713</v>
      </c>
      <c r="X621">
        <v>0</v>
      </c>
      <c r="Y621">
        <v>0</v>
      </c>
      <c r="AH621">
        <v>1560</v>
      </c>
      <c r="AO621">
        <v>0</v>
      </c>
      <c r="AR621">
        <v>0</v>
      </c>
    </row>
    <row r="622" spans="1:44" x14ac:dyDescent="0.25">
      <c r="A622">
        <v>649</v>
      </c>
      <c r="B622" t="s">
        <v>407</v>
      </c>
      <c r="C622">
        <v>-33.534399999999998</v>
      </c>
      <c r="D622">
        <v>151.3058</v>
      </c>
      <c r="G622">
        <v>50</v>
      </c>
      <c r="H622">
        <v>0</v>
      </c>
      <c r="I622">
        <v>0</v>
      </c>
      <c r="L622">
        <v>0</v>
      </c>
      <c r="N622">
        <v>0</v>
      </c>
      <c r="O622">
        <v>0</v>
      </c>
      <c r="AE622">
        <v>0</v>
      </c>
    </row>
    <row r="623" spans="1:44" x14ac:dyDescent="0.25">
      <c r="A623">
        <v>1032</v>
      </c>
      <c r="B623" t="s">
        <v>816</v>
      </c>
      <c r="C623">
        <v>-33.6068</v>
      </c>
      <c r="D623">
        <v>150.8262</v>
      </c>
      <c r="AG623">
        <v>50000</v>
      </c>
      <c r="AO623">
        <v>0</v>
      </c>
      <c r="AP623">
        <v>0</v>
      </c>
      <c r="AQ623">
        <v>0</v>
      </c>
    </row>
    <row r="624" spans="1:44" x14ac:dyDescent="0.25">
      <c r="A624">
        <v>97</v>
      </c>
      <c r="B624" t="s">
        <v>197</v>
      </c>
      <c r="C624">
        <v>-33.621224050000002</v>
      </c>
      <c r="D624">
        <v>150.69243109999999</v>
      </c>
      <c r="E624">
        <v>500</v>
      </c>
      <c r="F624">
        <v>2566</v>
      </c>
      <c r="G624">
        <v>868</v>
      </c>
      <c r="H624">
        <v>0</v>
      </c>
      <c r="I624">
        <v>830</v>
      </c>
      <c r="J624">
        <v>0</v>
      </c>
      <c r="K624">
        <v>220</v>
      </c>
      <c r="L624">
        <v>900</v>
      </c>
      <c r="M624">
        <v>75</v>
      </c>
      <c r="N624">
        <v>2500</v>
      </c>
      <c r="O624">
        <v>0</v>
      </c>
      <c r="P624">
        <v>0</v>
      </c>
      <c r="Q624">
        <v>1500</v>
      </c>
      <c r="R624">
        <v>0</v>
      </c>
      <c r="S624">
        <v>0</v>
      </c>
      <c r="T624">
        <v>0</v>
      </c>
      <c r="U624">
        <v>0</v>
      </c>
      <c r="W624">
        <v>0</v>
      </c>
      <c r="AA624">
        <v>200</v>
      </c>
      <c r="AD624">
        <v>950</v>
      </c>
      <c r="AG624">
        <v>2751</v>
      </c>
      <c r="AH624">
        <v>2230</v>
      </c>
      <c r="AO624">
        <v>0</v>
      </c>
      <c r="AP624">
        <v>0</v>
      </c>
      <c r="AQ624">
        <v>0</v>
      </c>
    </row>
    <row r="625" spans="1:44" x14ac:dyDescent="0.25">
      <c r="A625">
        <v>484</v>
      </c>
      <c r="B625" t="s">
        <v>198</v>
      </c>
      <c r="C625">
        <v>-33.625622</v>
      </c>
      <c r="D625">
        <v>151.32495800000001</v>
      </c>
      <c r="E625">
        <v>668</v>
      </c>
      <c r="F625">
        <v>339</v>
      </c>
      <c r="G625">
        <v>1230</v>
      </c>
      <c r="H625">
        <v>649</v>
      </c>
      <c r="I625">
        <v>600</v>
      </c>
      <c r="J625">
        <v>510</v>
      </c>
      <c r="K625">
        <v>730</v>
      </c>
      <c r="L625">
        <v>1270</v>
      </c>
      <c r="M625">
        <v>1250</v>
      </c>
      <c r="N625">
        <v>1300</v>
      </c>
      <c r="O625">
        <v>460</v>
      </c>
      <c r="P625">
        <v>0</v>
      </c>
      <c r="Q625">
        <v>620</v>
      </c>
      <c r="R625">
        <v>620</v>
      </c>
      <c r="S625">
        <v>280</v>
      </c>
      <c r="T625">
        <v>270</v>
      </c>
      <c r="U625">
        <v>450</v>
      </c>
      <c r="V625">
        <v>800</v>
      </c>
      <c r="W625">
        <v>730</v>
      </c>
      <c r="X625">
        <v>503</v>
      </c>
      <c r="Y625">
        <v>460</v>
      </c>
      <c r="Z625">
        <v>395</v>
      </c>
      <c r="AA625">
        <v>560</v>
      </c>
      <c r="AB625">
        <v>340</v>
      </c>
      <c r="AC625">
        <v>420</v>
      </c>
      <c r="AE625">
        <v>470</v>
      </c>
      <c r="AF625">
        <v>380</v>
      </c>
      <c r="AG625">
        <v>460</v>
      </c>
      <c r="AR625">
        <v>690</v>
      </c>
    </row>
    <row r="626" spans="1:44" x14ac:dyDescent="0.25">
      <c r="A626">
        <v>485</v>
      </c>
      <c r="B626" t="s">
        <v>53</v>
      </c>
      <c r="C626">
        <v>-33.694814000000001</v>
      </c>
      <c r="D626">
        <v>151.29500300000001</v>
      </c>
      <c r="E626">
        <v>172</v>
      </c>
      <c r="F626">
        <v>88</v>
      </c>
      <c r="G626">
        <v>1230</v>
      </c>
      <c r="H626">
        <v>485</v>
      </c>
      <c r="I626">
        <v>740</v>
      </c>
      <c r="J626">
        <v>810</v>
      </c>
      <c r="K626">
        <v>5000</v>
      </c>
      <c r="L626">
        <v>0</v>
      </c>
      <c r="M626">
        <v>0</v>
      </c>
      <c r="N626">
        <v>700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180</v>
      </c>
      <c r="U626">
        <v>0</v>
      </c>
      <c r="V626">
        <v>2000</v>
      </c>
      <c r="W626">
        <v>980</v>
      </c>
      <c r="X626">
        <v>0</v>
      </c>
      <c r="Y626">
        <v>3400</v>
      </c>
      <c r="Z626">
        <v>1440</v>
      </c>
      <c r="AA626">
        <v>5900</v>
      </c>
      <c r="AB626">
        <v>0</v>
      </c>
      <c r="AC626">
        <v>1400</v>
      </c>
      <c r="AD626">
        <v>2250</v>
      </c>
      <c r="AE626">
        <v>6500</v>
      </c>
      <c r="AF626">
        <v>0</v>
      </c>
      <c r="AG626">
        <v>1800</v>
      </c>
      <c r="AR626">
        <v>0</v>
      </c>
    </row>
    <row r="627" spans="1:44" x14ac:dyDescent="0.25">
      <c r="A627">
        <v>238</v>
      </c>
      <c r="B627" t="s">
        <v>693</v>
      </c>
      <c r="C627">
        <v>-33.727588990000001</v>
      </c>
      <c r="D627">
        <v>150.65193479999999</v>
      </c>
      <c r="F627">
        <v>0</v>
      </c>
      <c r="G627">
        <v>0</v>
      </c>
      <c r="H627">
        <v>0</v>
      </c>
      <c r="I627">
        <v>0</v>
      </c>
      <c r="K627">
        <v>0</v>
      </c>
      <c r="M627">
        <v>0</v>
      </c>
    </row>
    <row r="628" spans="1:44" x14ac:dyDescent="0.25">
      <c r="A628">
        <v>110</v>
      </c>
      <c r="B628" t="s">
        <v>694</v>
      </c>
      <c r="C628">
        <v>-33.735586069999997</v>
      </c>
      <c r="D628">
        <v>150.67009289999999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44" x14ac:dyDescent="0.25">
      <c r="A629">
        <v>237</v>
      </c>
      <c r="B629" t="s">
        <v>199</v>
      </c>
      <c r="C629">
        <v>-33.740756480000002</v>
      </c>
      <c r="D629">
        <v>150.6802515</v>
      </c>
      <c r="E629">
        <v>850</v>
      </c>
      <c r="F629">
        <v>3609</v>
      </c>
      <c r="G629">
        <v>0</v>
      </c>
      <c r="H629">
        <v>0</v>
      </c>
      <c r="I629">
        <v>580</v>
      </c>
      <c r="J629">
        <v>915</v>
      </c>
      <c r="K629">
        <v>1150</v>
      </c>
      <c r="L629">
        <v>1440</v>
      </c>
      <c r="M629">
        <v>1540</v>
      </c>
      <c r="N629">
        <v>20000</v>
      </c>
      <c r="O629">
        <v>0</v>
      </c>
      <c r="P629">
        <v>2680</v>
      </c>
      <c r="Q629">
        <v>2800</v>
      </c>
      <c r="R629">
        <v>8000</v>
      </c>
      <c r="S629">
        <v>0</v>
      </c>
      <c r="T629">
        <v>1700</v>
      </c>
      <c r="U629">
        <v>0</v>
      </c>
      <c r="V629">
        <v>1150</v>
      </c>
      <c r="W629">
        <v>0</v>
      </c>
      <c r="AA629">
        <v>400</v>
      </c>
      <c r="AD629">
        <v>2200</v>
      </c>
      <c r="AE629">
        <v>0</v>
      </c>
      <c r="AF629">
        <v>0</v>
      </c>
      <c r="AO629">
        <v>0</v>
      </c>
      <c r="AP629">
        <v>0</v>
      </c>
      <c r="AQ629">
        <v>0</v>
      </c>
    </row>
    <row r="630" spans="1:44" x14ac:dyDescent="0.25">
      <c r="A630">
        <v>45</v>
      </c>
      <c r="B630" t="s">
        <v>54</v>
      </c>
      <c r="C630">
        <v>-33.752413580000002</v>
      </c>
      <c r="D630">
        <v>151.1618527</v>
      </c>
      <c r="E630">
        <v>20205</v>
      </c>
      <c r="F630">
        <v>26380</v>
      </c>
      <c r="G630">
        <v>10230</v>
      </c>
      <c r="H630">
        <v>4210</v>
      </c>
      <c r="I630">
        <v>13640</v>
      </c>
      <c r="J630">
        <v>21015</v>
      </c>
      <c r="K630">
        <v>32115</v>
      </c>
      <c r="L630">
        <v>7470</v>
      </c>
      <c r="M630">
        <v>25050</v>
      </c>
      <c r="N630">
        <v>9460</v>
      </c>
      <c r="O630">
        <v>0</v>
      </c>
      <c r="P630">
        <v>0</v>
      </c>
      <c r="Q630">
        <v>7610</v>
      </c>
      <c r="R630">
        <v>7610</v>
      </c>
      <c r="S630">
        <v>0</v>
      </c>
      <c r="T630">
        <v>0</v>
      </c>
      <c r="U630">
        <v>8520</v>
      </c>
      <c r="V630">
        <v>12900</v>
      </c>
      <c r="W630">
        <v>3368</v>
      </c>
      <c r="X630">
        <v>0</v>
      </c>
      <c r="Y630">
        <v>8670</v>
      </c>
      <c r="Z630">
        <v>7890</v>
      </c>
      <c r="AA630">
        <v>11540</v>
      </c>
      <c r="AB630">
        <v>9930</v>
      </c>
      <c r="AC630">
        <v>7612</v>
      </c>
      <c r="AD630">
        <v>12640</v>
      </c>
      <c r="AE630">
        <v>6700</v>
      </c>
      <c r="AF630">
        <v>0</v>
      </c>
      <c r="AG630">
        <v>30000</v>
      </c>
      <c r="AK630">
        <v>7310</v>
      </c>
      <c r="AR630">
        <v>0</v>
      </c>
    </row>
    <row r="631" spans="1:44" x14ac:dyDescent="0.25">
      <c r="A631">
        <v>626</v>
      </c>
      <c r="B631" t="s">
        <v>200</v>
      </c>
      <c r="C631">
        <v>-33.778232000000003</v>
      </c>
      <c r="D631">
        <v>150.80588900000001</v>
      </c>
      <c r="F631">
        <v>0</v>
      </c>
      <c r="G631">
        <v>373</v>
      </c>
      <c r="H631">
        <v>900</v>
      </c>
      <c r="I631">
        <v>590</v>
      </c>
      <c r="J631">
        <v>900</v>
      </c>
      <c r="K631">
        <v>478</v>
      </c>
      <c r="L631">
        <v>1500</v>
      </c>
      <c r="M631">
        <v>800</v>
      </c>
      <c r="N631">
        <v>1300</v>
      </c>
      <c r="O631">
        <v>600</v>
      </c>
      <c r="P631">
        <v>6780</v>
      </c>
      <c r="Q631">
        <v>4200</v>
      </c>
      <c r="R631">
        <v>3620</v>
      </c>
      <c r="S631">
        <v>0</v>
      </c>
      <c r="T631">
        <v>1000</v>
      </c>
      <c r="U631">
        <v>600</v>
      </c>
      <c r="V631">
        <v>600</v>
      </c>
      <c r="AD631">
        <v>1248</v>
      </c>
      <c r="AE631">
        <v>2500</v>
      </c>
      <c r="AF631">
        <v>2069</v>
      </c>
      <c r="AH631">
        <v>565</v>
      </c>
      <c r="AO631">
        <v>2500</v>
      </c>
      <c r="AP631">
        <v>3000</v>
      </c>
      <c r="AQ631">
        <v>450</v>
      </c>
    </row>
    <row r="632" spans="1:44" x14ac:dyDescent="0.25">
      <c r="A632">
        <v>529</v>
      </c>
      <c r="B632" t="s">
        <v>55</v>
      </c>
      <c r="C632">
        <v>-33.789000000000001</v>
      </c>
      <c r="D632">
        <v>151.26</v>
      </c>
      <c r="E632">
        <v>1050</v>
      </c>
      <c r="F632">
        <v>496</v>
      </c>
      <c r="G632">
        <v>2531</v>
      </c>
      <c r="H632">
        <v>3010</v>
      </c>
      <c r="I632">
        <v>3240</v>
      </c>
      <c r="J632">
        <v>2267</v>
      </c>
      <c r="K632">
        <v>5620</v>
      </c>
      <c r="L632">
        <v>3300</v>
      </c>
      <c r="M632">
        <v>3370</v>
      </c>
      <c r="N632">
        <v>5060</v>
      </c>
      <c r="P632">
        <v>3260</v>
      </c>
      <c r="R632">
        <v>2920</v>
      </c>
      <c r="S632">
        <v>6100</v>
      </c>
      <c r="T632">
        <v>1600</v>
      </c>
      <c r="U632">
        <v>5600</v>
      </c>
      <c r="V632">
        <v>3100</v>
      </c>
      <c r="W632">
        <v>4830</v>
      </c>
      <c r="X632">
        <v>3400</v>
      </c>
      <c r="Y632">
        <v>3960</v>
      </c>
      <c r="Z632">
        <v>1995</v>
      </c>
      <c r="AA632">
        <v>4800</v>
      </c>
      <c r="AB632">
        <v>1570</v>
      </c>
      <c r="AC632">
        <v>1250</v>
      </c>
      <c r="AD632">
        <v>1080</v>
      </c>
      <c r="AE632">
        <v>5420</v>
      </c>
      <c r="AF632">
        <v>4700</v>
      </c>
      <c r="AG632">
        <v>1720</v>
      </c>
      <c r="AH632">
        <v>2660</v>
      </c>
      <c r="AK632">
        <v>1100</v>
      </c>
      <c r="AO632">
        <v>1830</v>
      </c>
      <c r="AP632">
        <v>3399</v>
      </c>
      <c r="AQ632">
        <v>1730</v>
      </c>
      <c r="AR632">
        <v>1410</v>
      </c>
    </row>
    <row r="633" spans="1:44" x14ac:dyDescent="0.25">
      <c r="A633">
        <v>134</v>
      </c>
      <c r="B633" t="s">
        <v>56</v>
      </c>
      <c r="C633">
        <v>-33.812984290000003</v>
      </c>
      <c r="D633">
        <v>150.9972037</v>
      </c>
      <c r="E633">
        <v>5850</v>
      </c>
      <c r="F633">
        <v>3750</v>
      </c>
      <c r="G633">
        <v>4400</v>
      </c>
      <c r="H633">
        <v>13150</v>
      </c>
      <c r="I633">
        <v>7720</v>
      </c>
      <c r="J633">
        <v>11060</v>
      </c>
      <c r="K633">
        <v>16250</v>
      </c>
      <c r="L633">
        <v>9280</v>
      </c>
      <c r="M633">
        <v>13260</v>
      </c>
      <c r="N633">
        <v>12100</v>
      </c>
      <c r="O633">
        <v>14950</v>
      </c>
      <c r="P633">
        <v>16650</v>
      </c>
      <c r="Q633">
        <v>15440</v>
      </c>
      <c r="R633">
        <v>17320</v>
      </c>
      <c r="S633">
        <v>11600</v>
      </c>
      <c r="T633">
        <v>10300</v>
      </c>
      <c r="U633">
        <v>14380</v>
      </c>
      <c r="V633">
        <v>9600</v>
      </c>
      <c r="W633">
        <v>12500</v>
      </c>
      <c r="X633">
        <v>13020</v>
      </c>
      <c r="Y633">
        <v>9610</v>
      </c>
      <c r="Z633">
        <v>10300</v>
      </c>
      <c r="AA633">
        <v>13200</v>
      </c>
      <c r="AB633">
        <v>8280</v>
      </c>
      <c r="AC633">
        <v>8300</v>
      </c>
      <c r="AD633">
        <v>8700</v>
      </c>
      <c r="AE633">
        <v>14300</v>
      </c>
      <c r="AF633">
        <v>16000</v>
      </c>
      <c r="AG633">
        <v>20400</v>
      </c>
      <c r="AH633">
        <v>12000</v>
      </c>
      <c r="AK633">
        <v>16000</v>
      </c>
      <c r="AO633">
        <v>9000</v>
      </c>
      <c r="AP633">
        <v>8770</v>
      </c>
      <c r="AQ633">
        <v>3500</v>
      </c>
    </row>
    <row r="634" spans="1:44" x14ac:dyDescent="0.25">
      <c r="A634">
        <v>490</v>
      </c>
      <c r="B634" t="s">
        <v>201</v>
      </c>
      <c r="C634">
        <v>-33.835296999999997</v>
      </c>
      <c r="D634">
        <v>150.914861</v>
      </c>
      <c r="F634">
        <v>0</v>
      </c>
      <c r="G634">
        <v>0</v>
      </c>
      <c r="H634">
        <v>0</v>
      </c>
      <c r="I634">
        <v>0</v>
      </c>
      <c r="J634">
        <v>1500</v>
      </c>
      <c r="K634">
        <v>1000</v>
      </c>
      <c r="L634">
        <v>1000</v>
      </c>
      <c r="M634">
        <v>0</v>
      </c>
      <c r="N634">
        <v>1250</v>
      </c>
      <c r="O634">
        <v>2000</v>
      </c>
      <c r="P634">
        <v>0</v>
      </c>
      <c r="Q634">
        <v>0</v>
      </c>
      <c r="R634">
        <v>0</v>
      </c>
      <c r="T634">
        <v>0</v>
      </c>
      <c r="U634">
        <v>60</v>
      </c>
      <c r="V634">
        <v>0</v>
      </c>
      <c r="W634">
        <v>1000</v>
      </c>
      <c r="Y634">
        <v>0</v>
      </c>
      <c r="AA634">
        <v>300</v>
      </c>
      <c r="AB634">
        <v>0</v>
      </c>
      <c r="AC634">
        <v>0</v>
      </c>
      <c r="AE634">
        <v>1420</v>
      </c>
      <c r="AF634">
        <v>0</v>
      </c>
      <c r="AH634">
        <v>200</v>
      </c>
      <c r="AO634">
        <v>0</v>
      </c>
      <c r="AP634">
        <v>0</v>
      </c>
      <c r="AQ634">
        <v>0</v>
      </c>
    </row>
    <row r="635" spans="1:44" x14ac:dyDescent="0.25">
      <c r="A635">
        <v>481</v>
      </c>
      <c r="B635" t="s">
        <v>57</v>
      </c>
      <c r="C635">
        <v>-33.836413999999998</v>
      </c>
      <c r="D635">
        <v>151.13397499999999</v>
      </c>
      <c r="E635">
        <v>366</v>
      </c>
      <c r="F635">
        <v>200</v>
      </c>
      <c r="G635">
        <v>175</v>
      </c>
      <c r="H635">
        <v>420</v>
      </c>
      <c r="I635">
        <v>939</v>
      </c>
      <c r="J635">
        <v>620</v>
      </c>
      <c r="K635">
        <v>1130</v>
      </c>
      <c r="L635">
        <v>1260</v>
      </c>
      <c r="M635">
        <v>2700</v>
      </c>
      <c r="N635">
        <v>8000</v>
      </c>
      <c r="O635">
        <v>0</v>
      </c>
      <c r="P635">
        <v>1090</v>
      </c>
      <c r="Q635">
        <v>1410</v>
      </c>
      <c r="R635">
        <v>0</v>
      </c>
      <c r="S635">
        <v>0</v>
      </c>
      <c r="T635">
        <v>1650</v>
      </c>
      <c r="U635">
        <v>3620</v>
      </c>
      <c r="V635">
        <v>5650</v>
      </c>
      <c r="W635">
        <v>4610</v>
      </c>
      <c r="X635">
        <v>2240</v>
      </c>
      <c r="Y635">
        <v>4680</v>
      </c>
      <c r="Z635">
        <v>5800</v>
      </c>
      <c r="AA635">
        <v>6200</v>
      </c>
      <c r="AB635">
        <v>1690</v>
      </c>
      <c r="AC635">
        <v>4000</v>
      </c>
      <c r="AD635">
        <v>4400</v>
      </c>
      <c r="AE635">
        <v>5400</v>
      </c>
      <c r="AF635">
        <v>3500</v>
      </c>
      <c r="AG635">
        <v>1200</v>
      </c>
      <c r="AH635">
        <v>6500</v>
      </c>
      <c r="AK635">
        <v>400</v>
      </c>
      <c r="AO635">
        <v>1800</v>
      </c>
      <c r="AP635">
        <v>3700</v>
      </c>
      <c r="AQ635">
        <v>0</v>
      </c>
    </row>
    <row r="636" spans="1:44" x14ac:dyDescent="0.25">
      <c r="A636">
        <v>234</v>
      </c>
      <c r="B636" t="s">
        <v>202</v>
      </c>
      <c r="C636">
        <v>-33.838146299999998</v>
      </c>
      <c r="D636">
        <v>151.0183864</v>
      </c>
      <c r="E636">
        <v>1650</v>
      </c>
      <c r="F636">
        <v>450</v>
      </c>
      <c r="G636">
        <v>1200</v>
      </c>
      <c r="H636">
        <v>4760</v>
      </c>
      <c r="I636">
        <v>2750</v>
      </c>
      <c r="J636">
        <v>3520</v>
      </c>
      <c r="K636">
        <v>6360</v>
      </c>
      <c r="L636">
        <v>4540</v>
      </c>
      <c r="M636">
        <v>1620</v>
      </c>
      <c r="N636">
        <v>3140</v>
      </c>
      <c r="O636">
        <v>0</v>
      </c>
      <c r="P636">
        <v>4850</v>
      </c>
      <c r="Q636">
        <v>3030</v>
      </c>
      <c r="R636">
        <v>0</v>
      </c>
      <c r="S636">
        <v>0</v>
      </c>
      <c r="T636">
        <v>3700</v>
      </c>
      <c r="U636">
        <v>4360</v>
      </c>
      <c r="V636">
        <v>2300</v>
      </c>
      <c r="W636">
        <v>2530</v>
      </c>
      <c r="X636">
        <v>2500</v>
      </c>
      <c r="Y636">
        <v>1110</v>
      </c>
      <c r="Z636">
        <v>1700</v>
      </c>
      <c r="AA636">
        <v>2300</v>
      </c>
      <c r="AB636">
        <v>2450</v>
      </c>
      <c r="AC636">
        <v>1600</v>
      </c>
      <c r="AD636">
        <v>700</v>
      </c>
      <c r="AE636">
        <v>3000</v>
      </c>
      <c r="AF636">
        <v>2700</v>
      </c>
      <c r="AG636">
        <v>870</v>
      </c>
      <c r="AH636">
        <v>900</v>
      </c>
      <c r="AK636">
        <v>2000</v>
      </c>
      <c r="AO636">
        <v>0</v>
      </c>
    </row>
    <row r="637" spans="1:44" x14ac:dyDescent="0.25">
      <c r="A637">
        <v>939</v>
      </c>
      <c r="B637" t="s">
        <v>203</v>
      </c>
      <c r="C637">
        <v>-33.840800000000002</v>
      </c>
      <c r="D637">
        <v>148.6806</v>
      </c>
      <c r="X637">
        <v>0</v>
      </c>
      <c r="Y637">
        <v>1335</v>
      </c>
      <c r="Z637">
        <v>1025</v>
      </c>
      <c r="AA637">
        <v>1125</v>
      </c>
      <c r="AC637">
        <v>1165</v>
      </c>
      <c r="AD637">
        <v>610</v>
      </c>
      <c r="AE637">
        <v>0</v>
      </c>
      <c r="AF637">
        <v>410</v>
      </c>
      <c r="AG637">
        <v>250</v>
      </c>
      <c r="AH637">
        <v>250</v>
      </c>
      <c r="AK637">
        <v>700</v>
      </c>
      <c r="AP637">
        <v>2000</v>
      </c>
      <c r="AQ637">
        <v>7836</v>
      </c>
      <c r="AR637">
        <v>0</v>
      </c>
    </row>
    <row r="638" spans="1:44" x14ac:dyDescent="0.25">
      <c r="A638">
        <v>19</v>
      </c>
      <c r="B638" t="s">
        <v>695</v>
      </c>
      <c r="C638">
        <v>-33.86451907</v>
      </c>
      <c r="D638">
        <v>151.2165373</v>
      </c>
      <c r="E638">
        <v>0</v>
      </c>
      <c r="F638">
        <v>0</v>
      </c>
      <c r="G638">
        <v>0</v>
      </c>
      <c r="H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T638">
        <v>0</v>
      </c>
      <c r="U638">
        <v>0</v>
      </c>
      <c r="W638">
        <v>0</v>
      </c>
      <c r="X638">
        <v>0</v>
      </c>
      <c r="Y638">
        <v>0</v>
      </c>
      <c r="AA638">
        <v>0</v>
      </c>
    </row>
    <row r="639" spans="1:44" x14ac:dyDescent="0.25">
      <c r="A639">
        <v>916</v>
      </c>
      <c r="B639" t="s">
        <v>204</v>
      </c>
      <c r="C639">
        <v>-33.879800000000003</v>
      </c>
      <c r="D639">
        <v>148.16419999999999</v>
      </c>
      <c r="W639">
        <v>355</v>
      </c>
      <c r="X639">
        <v>0</v>
      </c>
      <c r="Y639">
        <v>0</v>
      </c>
      <c r="Z639">
        <v>0</v>
      </c>
      <c r="AA639">
        <v>110</v>
      </c>
      <c r="AC639">
        <v>0</v>
      </c>
      <c r="AD639">
        <v>0</v>
      </c>
      <c r="AE639">
        <v>0</v>
      </c>
      <c r="AG639">
        <v>0</v>
      </c>
      <c r="AH639">
        <v>0</v>
      </c>
      <c r="AK639">
        <v>0</v>
      </c>
      <c r="AQ639">
        <v>0</v>
      </c>
    </row>
    <row r="640" spans="1:44" x14ac:dyDescent="0.25">
      <c r="A640">
        <v>487</v>
      </c>
      <c r="B640" t="s">
        <v>58</v>
      </c>
      <c r="C640">
        <v>-33.900027999999999</v>
      </c>
      <c r="D640">
        <v>151.23634200000001</v>
      </c>
      <c r="E640">
        <v>15490</v>
      </c>
      <c r="F640">
        <v>7004</v>
      </c>
      <c r="G640">
        <v>13420</v>
      </c>
      <c r="H640">
        <v>9780</v>
      </c>
      <c r="I640">
        <v>20070</v>
      </c>
      <c r="J640">
        <v>30050</v>
      </c>
      <c r="K640">
        <v>23800</v>
      </c>
      <c r="L640">
        <v>5990</v>
      </c>
      <c r="M640">
        <v>10900</v>
      </c>
      <c r="N640">
        <v>32120</v>
      </c>
      <c r="O640">
        <v>9270</v>
      </c>
      <c r="P640">
        <v>10900</v>
      </c>
      <c r="Q640">
        <v>5400</v>
      </c>
      <c r="R640">
        <v>12250</v>
      </c>
      <c r="S640">
        <v>25400</v>
      </c>
      <c r="T640">
        <v>8050</v>
      </c>
      <c r="U640">
        <v>24010</v>
      </c>
      <c r="V640">
        <v>21720</v>
      </c>
      <c r="W640">
        <v>8040</v>
      </c>
      <c r="X640">
        <v>5470</v>
      </c>
      <c r="Y640">
        <v>7860</v>
      </c>
      <c r="Z640">
        <v>13800</v>
      </c>
      <c r="AA640">
        <v>14700</v>
      </c>
      <c r="AB640">
        <v>9960</v>
      </c>
      <c r="AC640">
        <v>33140</v>
      </c>
      <c r="AD640">
        <v>17000</v>
      </c>
      <c r="AE640">
        <v>25000</v>
      </c>
      <c r="AF640">
        <v>5000</v>
      </c>
      <c r="AG640">
        <v>16000</v>
      </c>
      <c r="AH640">
        <v>35000</v>
      </c>
      <c r="AK640">
        <v>11000</v>
      </c>
      <c r="AO640">
        <v>8100</v>
      </c>
      <c r="AP640">
        <v>7400</v>
      </c>
      <c r="AQ640">
        <v>10600</v>
      </c>
    </row>
    <row r="641" spans="1:44" x14ac:dyDescent="0.25">
      <c r="A641">
        <v>25</v>
      </c>
      <c r="B641" t="s">
        <v>205</v>
      </c>
      <c r="C641">
        <v>-33.905698919999999</v>
      </c>
      <c r="D641">
        <v>150.9407252</v>
      </c>
      <c r="E641">
        <v>3000</v>
      </c>
      <c r="F641">
        <v>1050</v>
      </c>
      <c r="G641">
        <v>900</v>
      </c>
      <c r="H641">
        <v>0</v>
      </c>
      <c r="I641">
        <v>3500</v>
      </c>
      <c r="J641">
        <v>1870</v>
      </c>
      <c r="K641">
        <v>2600</v>
      </c>
      <c r="L641">
        <v>5900</v>
      </c>
      <c r="M641">
        <v>6740</v>
      </c>
      <c r="N641">
        <v>14130</v>
      </c>
      <c r="O641">
        <v>0</v>
      </c>
      <c r="P641">
        <v>4300</v>
      </c>
      <c r="Q641">
        <v>6100</v>
      </c>
      <c r="R641">
        <v>7500</v>
      </c>
      <c r="S641">
        <v>0</v>
      </c>
      <c r="T641">
        <v>3900</v>
      </c>
      <c r="U641">
        <v>3740</v>
      </c>
      <c r="V641">
        <v>5000</v>
      </c>
      <c r="W641">
        <v>2530</v>
      </c>
      <c r="X641">
        <v>0</v>
      </c>
      <c r="Y641">
        <v>2700</v>
      </c>
      <c r="Z641">
        <v>5000</v>
      </c>
      <c r="AA641">
        <v>2100</v>
      </c>
      <c r="AB641">
        <v>800</v>
      </c>
      <c r="AC641">
        <v>1000</v>
      </c>
      <c r="AD641">
        <v>3500</v>
      </c>
      <c r="AF641">
        <v>2000</v>
      </c>
      <c r="AG641">
        <v>3000</v>
      </c>
      <c r="AH641">
        <v>4000</v>
      </c>
      <c r="AK641">
        <v>0</v>
      </c>
      <c r="AO641">
        <v>0</v>
      </c>
      <c r="AP641">
        <v>0</v>
      </c>
      <c r="AQ641">
        <v>0</v>
      </c>
    </row>
    <row r="642" spans="1:44" x14ac:dyDescent="0.25">
      <c r="A642">
        <v>488</v>
      </c>
      <c r="B642" t="s">
        <v>59</v>
      </c>
      <c r="C642">
        <v>-33.930418000000003</v>
      </c>
      <c r="D642">
        <v>151.13520399999999</v>
      </c>
      <c r="E642">
        <v>6460</v>
      </c>
      <c r="F642">
        <v>5005</v>
      </c>
      <c r="G642">
        <v>2095</v>
      </c>
      <c r="H642">
        <v>4846</v>
      </c>
      <c r="I642">
        <v>9370</v>
      </c>
      <c r="J642">
        <v>16275</v>
      </c>
      <c r="K642">
        <v>10600</v>
      </c>
      <c r="L642">
        <v>5870</v>
      </c>
      <c r="M642">
        <v>9685</v>
      </c>
      <c r="N642">
        <v>13450</v>
      </c>
      <c r="O642">
        <v>3940</v>
      </c>
      <c r="P642">
        <v>14160</v>
      </c>
      <c r="Q642">
        <v>13510</v>
      </c>
      <c r="R642">
        <v>13510</v>
      </c>
      <c r="S642">
        <v>0</v>
      </c>
      <c r="T642">
        <v>11900</v>
      </c>
      <c r="U642">
        <v>26410</v>
      </c>
      <c r="V642">
        <v>23000</v>
      </c>
      <c r="W642">
        <v>17700</v>
      </c>
      <c r="X642">
        <v>24250</v>
      </c>
      <c r="Y642">
        <v>10540</v>
      </c>
      <c r="Z642">
        <v>16750</v>
      </c>
      <c r="AA642">
        <v>13800</v>
      </c>
      <c r="AB642">
        <v>6600</v>
      </c>
      <c r="AC642">
        <v>1600</v>
      </c>
      <c r="AD642">
        <v>5000</v>
      </c>
      <c r="AE642">
        <v>1000</v>
      </c>
      <c r="AF642">
        <v>0</v>
      </c>
      <c r="AG642">
        <v>1160</v>
      </c>
      <c r="AH642">
        <v>4400</v>
      </c>
      <c r="AK642">
        <v>6130</v>
      </c>
      <c r="AP642">
        <v>6000</v>
      </c>
      <c r="AQ642">
        <v>1800</v>
      </c>
      <c r="AR642">
        <v>12640</v>
      </c>
    </row>
    <row r="643" spans="1:44" x14ac:dyDescent="0.25">
      <c r="A643">
        <v>483</v>
      </c>
      <c r="B643" t="s">
        <v>206</v>
      </c>
      <c r="C643">
        <v>-33.982360999999997</v>
      </c>
      <c r="D643">
        <v>151.07710599999999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1114</v>
      </c>
      <c r="W643">
        <v>12</v>
      </c>
      <c r="X643">
        <v>1</v>
      </c>
      <c r="Y643">
        <v>1288</v>
      </c>
      <c r="Z643">
        <v>3392</v>
      </c>
      <c r="AA643">
        <v>1100</v>
      </c>
      <c r="AB643">
        <v>903</v>
      </c>
      <c r="AC643">
        <v>1864</v>
      </c>
      <c r="AD643">
        <v>4429</v>
      </c>
      <c r="AE643">
        <v>957</v>
      </c>
      <c r="AF643">
        <v>0</v>
      </c>
      <c r="AG643">
        <v>1543</v>
      </c>
      <c r="AH643">
        <v>4726</v>
      </c>
      <c r="AK643">
        <v>2330</v>
      </c>
      <c r="AO643">
        <v>4379</v>
      </c>
      <c r="AP643">
        <v>3588</v>
      </c>
      <c r="AQ643">
        <v>0</v>
      </c>
      <c r="AR643">
        <v>3215</v>
      </c>
    </row>
    <row r="644" spans="1:44" x14ac:dyDescent="0.25">
      <c r="A644">
        <v>482</v>
      </c>
      <c r="B644" t="s">
        <v>207</v>
      </c>
      <c r="C644">
        <v>-33.990068999999998</v>
      </c>
      <c r="D644">
        <v>150.87944400000001</v>
      </c>
      <c r="E644">
        <v>2500</v>
      </c>
      <c r="F644">
        <v>550</v>
      </c>
      <c r="G644">
        <v>2550</v>
      </c>
      <c r="H644">
        <v>5420</v>
      </c>
      <c r="I644">
        <v>2550</v>
      </c>
      <c r="J644">
        <v>4800</v>
      </c>
      <c r="K644">
        <v>4810</v>
      </c>
      <c r="L644">
        <v>2850</v>
      </c>
      <c r="M644">
        <v>1670</v>
      </c>
      <c r="N644">
        <v>2800</v>
      </c>
      <c r="O644">
        <v>6300</v>
      </c>
      <c r="P644">
        <v>17000</v>
      </c>
      <c r="Q644">
        <v>6100</v>
      </c>
      <c r="R644">
        <v>10050</v>
      </c>
      <c r="S644">
        <v>1000</v>
      </c>
      <c r="T644">
        <v>5300</v>
      </c>
      <c r="U644">
        <v>4420</v>
      </c>
      <c r="V644">
        <v>3400</v>
      </c>
      <c r="W644">
        <v>2560</v>
      </c>
      <c r="X644">
        <v>4900</v>
      </c>
      <c r="Y644">
        <v>423</v>
      </c>
      <c r="Z644">
        <v>4930</v>
      </c>
      <c r="AA644">
        <v>1407</v>
      </c>
      <c r="AB644">
        <v>4094</v>
      </c>
      <c r="AE644">
        <v>1731</v>
      </c>
      <c r="AH644">
        <v>11050</v>
      </c>
      <c r="AO644">
        <v>9570</v>
      </c>
      <c r="AP644">
        <v>3090</v>
      </c>
      <c r="AQ644">
        <v>0</v>
      </c>
    </row>
    <row r="645" spans="1:44" x14ac:dyDescent="0.25">
      <c r="A645">
        <v>249</v>
      </c>
      <c r="B645" t="s">
        <v>696</v>
      </c>
      <c r="C645">
        <v>-34.011413159999996</v>
      </c>
      <c r="D645">
        <v>150.9992641</v>
      </c>
      <c r="E645">
        <v>0</v>
      </c>
      <c r="F645">
        <v>0</v>
      </c>
      <c r="G645">
        <v>0</v>
      </c>
    </row>
    <row r="646" spans="1:44" x14ac:dyDescent="0.25">
      <c r="A646">
        <v>364</v>
      </c>
      <c r="B646" t="s">
        <v>208</v>
      </c>
      <c r="C646">
        <v>-34.023251000000002</v>
      </c>
      <c r="D646">
        <v>151.08545699999999</v>
      </c>
      <c r="E646">
        <v>4780</v>
      </c>
      <c r="F646">
        <v>3200</v>
      </c>
      <c r="G646">
        <v>7380</v>
      </c>
      <c r="H646">
        <v>2780</v>
      </c>
      <c r="I646">
        <v>3160</v>
      </c>
      <c r="J646">
        <v>13500</v>
      </c>
      <c r="K646">
        <v>20690</v>
      </c>
      <c r="L646">
        <v>3780</v>
      </c>
      <c r="M646">
        <v>8790</v>
      </c>
      <c r="N646">
        <v>6810</v>
      </c>
      <c r="O646">
        <v>1880</v>
      </c>
      <c r="P646">
        <v>610</v>
      </c>
      <c r="Q646">
        <v>0</v>
      </c>
      <c r="R646">
        <v>0</v>
      </c>
      <c r="S646">
        <v>0</v>
      </c>
      <c r="T646">
        <v>150</v>
      </c>
      <c r="U646">
        <v>0</v>
      </c>
      <c r="V646">
        <v>15000</v>
      </c>
      <c r="W646">
        <v>0</v>
      </c>
      <c r="X646">
        <v>0</v>
      </c>
      <c r="Y646">
        <v>6000</v>
      </c>
      <c r="AA646">
        <v>3000</v>
      </c>
      <c r="AB646">
        <v>350</v>
      </c>
      <c r="AD646">
        <v>853</v>
      </c>
      <c r="AE646">
        <v>1950</v>
      </c>
      <c r="AF646">
        <v>1322</v>
      </c>
      <c r="AG646">
        <v>1191</v>
      </c>
      <c r="AH646">
        <v>2259</v>
      </c>
      <c r="AK646">
        <v>2236</v>
      </c>
      <c r="AQ646">
        <v>0</v>
      </c>
      <c r="AR646">
        <v>791</v>
      </c>
    </row>
    <row r="647" spans="1:44" x14ac:dyDescent="0.25">
      <c r="A647">
        <v>245</v>
      </c>
      <c r="B647" t="s">
        <v>408</v>
      </c>
      <c r="C647">
        <v>-34.025900749999998</v>
      </c>
      <c r="D647">
        <v>151.19973809999999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80</v>
      </c>
      <c r="U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E647">
        <v>0</v>
      </c>
    </row>
    <row r="648" spans="1:44" x14ac:dyDescent="0.25">
      <c r="A648">
        <v>22</v>
      </c>
      <c r="B648" t="s">
        <v>209</v>
      </c>
      <c r="C648">
        <v>-34.026754689999997</v>
      </c>
      <c r="D648">
        <v>150.64812929999999</v>
      </c>
      <c r="F648">
        <v>2600</v>
      </c>
      <c r="G648">
        <v>0</v>
      </c>
      <c r="H648">
        <v>0</v>
      </c>
      <c r="J648">
        <v>5800</v>
      </c>
      <c r="K648">
        <v>1000</v>
      </c>
      <c r="L648">
        <v>100</v>
      </c>
      <c r="M648">
        <v>300</v>
      </c>
      <c r="N648">
        <v>3120</v>
      </c>
      <c r="O648">
        <v>6300</v>
      </c>
      <c r="P648">
        <v>0</v>
      </c>
      <c r="Q648">
        <v>1200</v>
      </c>
      <c r="R648">
        <v>1550</v>
      </c>
      <c r="T648">
        <v>200</v>
      </c>
      <c r="U648">
        <v>6000</v>
      </c>
      <c r="V648">
        <v>0</v>
      </c>
      <c r="W648">
        <v>0</v>
      </c>
      <c r="Y648">
        <v>800</v>
      </c>
      <c r="AA648">
        <v>0</v>
      </c>
      <c r="AB648">
        <v>0</v>
      </c>
      <c r="AC648">
        <v>0</v>
      </c>
      <c r="AE648">
        <v>3300</v>
      </c>
      <c r="AF648">
        <v>0</v>
      </c>
      <c r="AH648">
        <v>1500</v>
      </c>
      <c r="AK648">
        <v>38300</v>
      </c>
      <c r="AO648">
        <v>0</v>
      </c>
      <c r="AP648">
        <v>650</v>
      </c>
    </row>
    <row r="649" spans="1:44" x14ac:dyDescent="0.25">
      <c r="A649">
        <v>942</v>
      </c>
      <c r="B649" t="s">
        <v>210</v>
      </c>
      <c r="C649">
        <v>-34.042400000000001</v>
      </c>
      <c r="D649">
        <v>151.11250000000001</v>
      </c>
      <c r="X649">
        <v>1100</v>
      </c>
      <c r="Y649">
        <v>1900</v>
      </c>
      <c r="AA649">
        <v>2200</v>
      </c>
      <c r="AB649">
        <v>1200</v>
      </c>
      <c r="AD649">
        <v>398</v>
      </c>
      <c r="AE649">
        <v>2765</v>
      </c>
      <c r="AF649">
        <v>1004</v>
      </c>
      <c r="AG649">
        <v>994</v>
      </c>
      <c r="AH649">
        <v>1001</v>
      </c>
      <c r="AK649">
        <v>602</v>
      </c>
      <c r="AQ649">
        <v>1020</v>
      </c>
    </row>
    <row r="650" spans="1:44" x14ac:dyDescent="0.25">
      <c r="A650">
        <v>489</v>
      </c>
      <c r="B650" t="s">
        <v>211</v>
      </c>
      <c r="C650">
        <v>-34.065828000000003</v>
      </c>
      <c r="D650">
        <v>150.80879999999999</v>
      </c>
      <c r="E650">
        <v>500</v>
      </c>
      <c r="F650">
        <v>444</v>
      </c>
      <c r="H650">
        <v>690</v>
      </c>
      <c r="I650">
        <v>1554</v>
      </c>
      <c r="J650">
        <v>932</v>
      </c>
      <c r="K650">
        <v>742</v>
      </c>
      <c r="L650">
        <v>1256</v>
      </c>
      <c r="M650">
        <v>1533</v>
      </c>
      <c r="N650">
        <v>3299</v>
      </c>
      <c r="O650">
        <v>977</v>
      </c>
      <c r="P650">
        <v>0</v>
      </c>
      <c r="R650">
        <v>0</v>
      </c>
      <c r="S650">
        <v>0</v>
      </c>
      <c r="T650">
        <v>1465</v>
      </c>
      <c r="U650">
        <v>3276</v>
      </c>
      <c r="V650">
        <v>2557</v>
      </c>
      <c r="X650">
        <v>3039</v>
      </c>
      <c r="Y650">
        <v>2255</v>
      </c>
      <c r="Z650">
        <v>669</v>
      </c>
      <c r="AE650">
        <v>7915</v>
      </c>
      <c r="AH650">
        <v>6264</v>
      </c>
      <c r="AO650">
        <v>4310</v>
      </c>
      <c r="AP650">
        <v>2360</v>
      </c>
      <c r="AQ650">
        <v>0</v>
      </c>
    </row>
    <row r="651" spans="1:44" x14ac:dyDescent="0.25">
      <c r="A651">
        <v>63</v>
      </c>
      <c r="B651" t="s">
        <v>697</v>
      </c>
      <c r="C651">
        <v>-34.152402199999997</v>
      </c>
      <c r="D651">
        <v>150.74915010000001</v>
      </c>
      <c r="F651">
        <v>0</v>
      </c>
    </row>
    <row r="652" spans="1:44" x14ac:dyDescent="0.25">
      <c r="A652">
        <v>769</v>
      </c>
      <c r="B652" t="s">
        <v>60</v>
      </c>
      <c r="C652">
        <v>-34.177599999999998</v>
      </c>
      <c r="D652">
        <v>150.61170000000001</v>
      </c>
      <c r="L652">
        <v>190</v>
      </c>
      <c r="N652">
        <v>2658</v>
      </c>
      <c r="O652">
        <v>5335</v>
      </c>
      <c r="P652">
        <v>2682</v>
      </c>
      <c r="R652">
        <v>5934</v>
      </c>
      <c r="S652">
        <v>0</v>
      </c>
      <c r="T652">
        <v>1912</v>
      </c>
      <c r="U652">
        <v>1836</v>
      </c>
      <c r="V652">
        <v>2500</v>
      </c>
      <c r="W652">
        <v>4276</v>
      </c>
      <c r="X652">
        <v>8760</v>
      </c>
      <c r="Y652">
        <v>6970</v>
      </c>
      <c r="Z652">
        <v>0</v>
      </c>
      <c r="AD652">
        <v>6100</v>
      </c>
      <c r="AE652">
        <v>9150</v>
      </c>
      <c r="AF652">
        <v>9820</v>
      </c>
      <c r="AG652">
        <v>6900</v>
      </c>
      <c r="AH652">
        <v>3650</v>
      </c>
      <c r="AK652">
        <v>14186</v>
      </c>
      <c r="AO652">
        <v>1079</v>
      </c>
      <c r="AP652">
        <v>695</v>
      </c>
    </row>
    <row r="653" spans="1:44" x14ac:dyDescent="0.25">
      <c r="A653">
        <v>136</v>
      </c>
      <c r="B653" t="s">
        <v>698</v>
      </c>
      <c r="C653">
        <v>-34.309226700000004</v>
      </c>
      <c r="D653">
        <v>150.90724420000001</v>
      </c>
      <c r="F653">
        <v>0</v>
      </c>
      <c r="G653">
        <v>0</v>
      </c>
      <c r="I653">
        <v>0</v>
      </c>
      <c r="J653">
        <v>0</v>
      </c>
      <c r="L653">
        <v>0</v>
      </c>
      <c r="M653">
        <v>0</v>
      </c>
      <c r="N653">
        <v>0</v>
      </c>
      <c r="AF653">
        <v>0</v>
      </c>
    </row>
    <row r="654" spans="1:44" x14ac:dyDescent="0.25">
      <c r="A654">
        <v>1195</v>
      </c>
      <c r="B654" t="s">
        <v>817</v>
      </c>
      <c r="C654">
        <v>-34.311399999999999</v>
      </c>
      <c r="D654">
        <v>150.92250000000001</v>
      </c>
      <c r="AH654">
        <v>2500</v>
      </c>
    </row>
    <row r="655" spans="1:44" x14ac:dyDescent="0.25">
      <c r="A655">
        <v>480</v>
      </c>
      <c r="B655" t="s">
        <v>699</v>
      </c>
      <c r="C655">
        <v>-34.31917</v>
      </c>
      <c r="D655">
        <v>148.30015</v>
      </c>
      <c r="F655">
        <v>0</v>
      </c>
      <c r="G655">
        <v>0</v>
      </c>
      <c r="H655">
        <v>0</v>
      </c>
      <c r="I655">
        <v>0</v>
      </c>
    </row>
    <row r="656" spans="1:44" x14ac:dyDescent="0.25">
      <c r="A656">
        <v>264</v>
      </c>
      <c r="B656" t="s">
        <v>700</v>
      </c>
      <c r="C656">
        <v>-34.33408901</v>
      </c>
      <c r="D656">
        <v>150.89735350000001</v>
      </c>
      <c r="E656">
        <v>0</v>
      </c>
      <c r="F656">
        <v>0</v>
      </c>
      <c r="G656">
        <v>0</v>
      </c>
      <c r="I656">
        <v>0</v>
      </c>
      <c r="M656">
        <v>0</v>
      </c>
      <c r="N656">
        <v>0</v>
      </c>
      <c r="AF656">
        <v>0</v>
      </c>
    </row>
    <row r="657" spans="1:44" x14ac:dyDescent="0.25">
      <c r="A657">
        <v>229</v>
      </c>
      <c r="B657" t="s">
        <v>701</v>
      </c>
      <c r="C657">
        <v>-34.385479060000002</v>
      </c>
      <c r="D657">
        <v>150.86769200000001</v>
      </c>
      <c r="E657">
        <v>0</v>
      </c>
      <c r="F657">
        <v>0</v>
      </c>
      <c r="G657">
        <v>0</v>
      </c>
      <c r="I657">
        <v>0</v>
      </c>
      <c r="J657">
        <v>0</v>
      </c>
      <c r="M657">
        <v>0</v>
      </c>
      <c r="N657">
        <v>0</v>
      </c>
      <c r="AF657">
        <v>0</v>
      </c>
    </row>
    <row r="658" spans="1:44" x14ac:dyDescent="0.25">
      <c r="A658">
        <v>342</v>
      </c>
      <c r="B658" t="s">
        <v>212</v>
      </c>
      <c r="C658">
        <v>-34.431159999999998</v>
      </c>
      <c r="D658">
        <v>150.86699400000001</v>
      </c>
      <c r="E658">
        <v>729</v>
      </c>
      <c r="F658">
        <v>7877</v>
      </c>
      <c r="G658">
        <v>2324</v>
      </c>
      <c r="H658">
        <v>2644</v>
      </c>
      <c r="I658">
        <v>3462</v>
      </c>
      <c r="J658">
        <v>10620</v>
      </c>
      <c r="K658">
        <v>1087</v>
      </c>
      <c r="L658">
        <v>261</v>
      </c>
      <c r="M658">
        <v>437</v>
      </c>
      <c r="N658">
        <v>556</v>
      </c>
      <c r="O658">
        <v>293</v>
      </c>
      <c r="P658">
        <v>1000</v>
      </c>
      <c r="Q658">
        <v>6008</v>
      </c>
      <c r="R658">
        <v>4500</v>
      </c>
      <c r="S658">
        <v>1900</v>
      </c>
      <c r="T658">
        <v>500</v>
      </c>
      <c r="U658">
        <v>355</v>
      </c>
      <c r="V658">
        <v>961</v>
      </c>
      <c r="W658">
        <v>432</v>
      </c>
      <c r="X658">
        <v>154</v>
      </c>
      <c r="Y658">
        <v>763</v>
      </c>
      <c r="Z658">
        <v>4000</v>
      </c>
      <c r="AA658">
        <v>3500</v>
      </c>
      <c r="AB658">
        <v>240</v>
      </c>
      <c r="AC658">
        <v>3200</v>
      </c>
      <c r="AD658">
        <v>4001</v>
      </c>
      <c r="AE658">
        <v>0</v>
      </c>
      <c r="AF658">
        <v>698</v>
      </c>
      <c r="AG658">
        <v>725</v>
      </c>
      <c r="AK658">
        <v>1003</v>
      </c>
      <c r="AP658">
        <v>2488</v>
      </c>
      <c r="AQ658">
        <v>371</v>
      </c>
      <c r="AR658">
        <v>475</v>
      </c>
    </row>
    <row r="659" spans="1:44" x14ac:dyDescent="0.25">
      <c r="A659">
        <v>70</v>
      </c>
      <c r="B659" t="s">
        <v>702</v>
      </c>
      <c r="C659">
        <v>-34.445851920000003</v>
      </c>
      <c r="D659">
        <v>150.7921489</v>
      </c>
      <c r="E659">
        <v>0</v>
      </c>
      <c r="F659">
        <v>0</v>
      </c>
      <c r="G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44" x14ac:dyDescent="0.25">
      <c r="A660">
        <v>893</v>
      </c>
      <c r="B660" t="s">
        <v>409</v>
      </c>
      <c r="C660">
        <v>-34.448</v>
      </c>
      <c r="D660">
        <v>150.4598</v>
      </c>
      <c r="V660">
        <v>160</v>
      </c>
      <c r="W660">
        <v>0</v>
      </c>
    </row>
    <row r="661" spans="1:44" x14ac:dyDescent="0.25">
      <c r="A661">
        <v>784</v>
      </c>
      <c r="B661" t="s">
        <v>213</v>
      </c>
      <c r="C661">
        <v>-34.4711</v>
      </c>
      <c r="D661">
        <v>150.7971</v>
      </c>
      <c r="K661">
        <v>750</v>
      </c>
      <c r="M661">
        <v>0</v>
      </c>
      <c r="N661">
        <v>750</v>
      </c>
      <c r="O661">
        <v>0</v>
      </c>
      <c r="P661">
        <v>0</v>
      </c>
      <c r="R661">
        <v>0</v>
      </c>
      <c r="S661">
        <v>0</v>
      </c>
      <c r="T661">
        <v>0</v>
      </c>
      <c r="U661">
        <v>0</v>
      </c>
      <c r="V661">
        <v>830</v>
      </c>
      <c r="Z661">
        <v>4073</v>
      </c>
      <c r="AC661">
        <v>0</v>
      </c>
      <c r="AD661">
        <v>1750</v>
      </c>
      <c r="AE661">
        <v>0</v>
      </c>
      <c r="AG661">
        <v>0</v>
      </c>
      <c r="AH661">
        <v>1500</v>
      </c>
    </row>
    <row r="662" spans="1:44" x14ac:dyDescent="0.25">
      <c r="A662">
        <v>1281</v>
      </c>
      <c r="B662" t="s">
        <v>818</v>
      </c>
      <c r="C662">
        <v>-34.506500000000003</v>
      </c>
      <c r="D662">
        <v>150.79069999999999</v>
      </c>
      <c r="AP662">
        <v>1844</v>
      </c>
      <c r="AQ662">
        <v>177</v>
      </c>
    </row>
    <row r="663" spans="1:44" x14ac:dyDescent="0.25">
      <c r="A663">
        <v>892</v>
      </c>
      <c r="B663" t="s">
        <v>410</v>
      </c>
      <c r="C663">
        <v>-34.549700000000001</v>
      </c>
      <c r="D663">
        <v>150.36949999999999</v>
      </c>
      <c r="V663">
        <v>360</v>
      </c>
      <c r="W663">
        <v>0</v>
      </c>
    </row>
    <row r="664" spans="1:44" x14ac:dyDescent="0.25">
      <c r="A664">
        <v>517</v>
      </c>
      <c r="B664" t="s">
        <v>214</v>
      </c>
      <c r="C664">
        <v>-34.571199999999997</v>
      </c>
      <c r="D664">
        <v>150.85059999999999</v>
      </c>
      <c r="E664">
        <v>2031</v>
      </c>
      <c r="F664">
        <v>5843</v>
      </c>
      <c r="G664">
        <v>1898</v>
      </c>
      <c r="H664">
        <v>956</v>
      </c>
      <c r="I664">
        <v>1583</v>
      </c>
      <c r="J664">
        <v>3192</v>
      </c>
      <c r="K664">
        <v>140</v>
      </c>
      <c r="L664">
        <v>1764</v>
      </c>
      <c r="M664">
        <v>4109</v>
      </c>
      <c r="N664">
        <v>5398</v>
      </c>
      <c r="O664">
        <v>0</v>
      </c>
      <c r="P664">
        <v>3477</v>
      </c>
      <c r="Q664">
        <v>1190</v>
      </c>
      <c r="R664">
        <v>2865</v>
      </c>
      <c r="S664">
        <v>9205</v>
      </c>
      <c r="T664">
        <v>1299</v>
      </c>
      <c r="U664">
        <v>1300</v>
      </c>
      <c r="W664">
        <v>640</v>
      </c>
      <c r="Y664">
        <v>297</v>
      </c>
      <c r="Z664">
        <v>1965</v>
      </c>
      <c r="AA664">
        <v>645</v>
      </c>
      <c r="AB664">
        <v>1014</v>
      </c>
      <c r="AC664">
        <v>1832</v>
      </c>
      <c r="AD664">
        <v>2015</v>
      </c>
      <c r="AE664">
        <v>1456</v>
      </c>
      <c r="AF664">
        <v>851</v>
      </c>
      <c r="AG664">
        <v>1153</v>
      </c>
      <c r="AH664">
        <v>1868</v>
      </c>
      <c r="AO664">
        <v>468</v>
      </c>
      <c r="AP664">
        <v>418</v>
      </c>
      <c r="AQ664">
        <v>0</v>
      </c>
      <c r="AR664">
        <v>280</v>
      </c>
    </row>
    <row r="665" spans="1:44" x14ac:dyDescent="0.25">
      <c r="A665">
        <v>47</v>
      </c>
      <c r="B665" t="s">
        <v>703</v>
      </c>
      <c r="C665">
        <v>-34.629112370000001</v>
      </c>
      <c r="D665">
        <v>150.80303040000001</v>
      </c>
      <c r="F665">
        <v>0</v>
      </c>
      <c r="G665">
        <v>0</v>
      </c>
    </row>
    <row r="666" spans="1:44" x14ac:dyDescent="0.25">
      <c r="A666">
        <v>894</v>
      </c>
      <c r="B666" t="s">
        <v>215</v>
      </c>
      <c r="C666">
        <v>-34.661200000000001</v>
      </c>
      <c r="D666">
        <v>150.84630000000001</v>
      </c>
      <c r="V666">
        <v>300</v>
      </c>
      <c r="W666">
        <v>594</v>
      </c>
      <c r="X666">
        <v>600</v>
      </c>
      <c r="Y666">
        <v>375</v>
      </c>
      <c r="Z666">
        <v>1400</v>
      </c>
      <c r="AA666">
        <v>1700</v>
      </c>
      <c r="AB666">
        <v>1900</v>
      </c>
      <c r="AD666">
        <v>4500</v>
      </c>
      <c r="AF666">
        <v>0</v>
      </c>
      <c r="AG666">
        <v>900</v>
      </c>
      <c r="AH666">
        <v>4500</v>
      </c>
      <c r="AK666">
        <v>700</v>
      </c>
      <c r="AO666">
        <v>1300</v>
      </c>
      <c r="AP666">
        <v>1400</v>
      </c>
      <c r="AQ666">
        <v>0</v>
      </c>
    </row>
    <row r="667" spans="1:44" x14ac:dyDescent="0.25">
      <c r="A667">
        <v>911</v>
      </c>
      <c r="B667" t="s">
        <v>216</v>
      </c>
      <c r="C667">
        <v>-34.684699999999999</v>
      </c>
      <c r="D667">
        <v>150.8527</v>
      </c>
      <c r="W667">
        <v>106</v>
      </c>
      <c r="X667">
        <v>0</v>
      </c>
      <c r="Y667">
        <v>23</v>
      </c>
      <c r="Z667">
        <v>48</v>
      </c>
      <c r="AA667">
        <v>0</v>
      </c>
      <c r="AB667">
        <v>0</v>
      </c>
      <c r="AD667">
        <v>25</v>
      </c>
      <c r="AF667">
        <v>0</v>
      </c>
      <c r="AG667">
        <v>0</v>
      </c>
      <c r="AH667">
        <v>150</v>
      </c>
      <c r="AO667">
        <v>0</v>
      </c>
    </row>
    <row r="668" spans="1:44" x14ac:dyDescent="0.25">
      <c r="A668">
        <v>642</v>
      </c>
      <c r="B668" t="s">
        <v>704</v>
      </c>
      <c r="C668">
        <v>-34.7115206</v>
      </c>
      <c r="D668">
        <v>150.6460988</v>
      </c>
      <c r="G668">
        <v>0</v>
      </c>
      <c r="I668">
        <v>0</v>
      </c>
    </row>
    <row r="669" spans="1:44" x14ac:dyDescent="0.25">
      <c r="A669">
        <v>917</v>
      </c>
      <c r="B669" t="s">
        <v>61</v>
      </c>
      <c r="C669">
        <v>-34.735700000000001</v>
      </c>
      <c r="D669">
        <v>150.53059999999999</v>
      </c>
      <c r="W669">
        <v>633</v>
      </c>
      <c r="Y669">
        <v>0</v>
      </c>
      <c r="Z669">
        <v>2213</v>
      </c>
      <c r="AA669">
        <v>11285</v>
      </c>
      <c r="AB669">
        <v>0</v>
      </c>
      <c r="AC669">
        <v>0</v>
      </c>
      <c r="AD669">
        <v>2755</v>
      </c>
      <c r="AE669">
        <v>1045</v>
      </c>
      <c r="AF669">
        <v>395</v>
      </c>
      <c r="AG669">
        <v>6630</v>
      </c>
      <c r="AH669">
        <v>7880</v>
      </c>
      <c r="AK669">
        <v>536</v>
      </c>
      <c r="AO669">
        <v>97</v>
      </c>
      <c r="AP669">
        <v>1400</v>
      </c>
      <c r="AR669">
        <v>0</v>
      </c>
    </row>
    <row r="670" spans="1:44" x14ac:dyDescent="0.25">
      <c r="A670">
        <v>1027</v>
      </c>
      <c r="B670" t="s">
        <v>819</v>
      </c>
      <c r="C670">
        <v>-34.768599999999999</v>
      </c>
      <c r="D670">
        <v>150.67599999999999</v>
      </c>
      <c r="AF670">
        <v>1805</v>
      </c>
      <c r="AG670">
        <v>6630</v>
      </c>
      <c r="AH670">
        <v>5300</v>
      </c>
      <c r="AK670">
        <v>561</v>
      </c>
      <c r="AO670">
        <v>0</v>
      </c>
      <c r="AQ670">
        <v>0</v>
      </c>
      <c r="AR670">
        <v>0</v>
      </c>
    </row>
    <row r="671" spans="1:44" x14ac:dyDescent="0.25">
      <c r="A671">
        <v>926</v>
      </c>
      <c r="B671" t="s">
        <v>217</v>
      </c>
      <c r="C671">
        <v>-34.771999999999998</v>
      </c>
      <c r="D671">
        <v>150.7054</v>
      </c>
      <c r="W671">
        <v>986</v>
      </c>
      <c r="X671">
        <v>2000</v>
      </c>
      <c r="Y671">
        <v>550</v>
      </c>
      <c r="Z671">
        <v>2846</v>
      </c>
      <c r="AA671">
        <v>0</v>
      </c>
      <c r="AB671">
        <v>0</v>
      </c>
      <c r="AD671">
        <v>2550</v>
      </c>
      <c r="AE671">
        <v>0</v>
      </c>
      <c r="AF671">
        <v>0</v>
      </c>
      <c r="AG671">
        <v>0</v>
      </c>
      <c r="AH671">
        <v>150</v>
      </c>
      <c r="AK671">
        <v>0</v>
      </c>
      <c r="AO671">
        <v>0</v>
      </c>
      <c r="AQ671">
        <v>0</v>
      </c>
      <c r="AR671">
        <v>0</v>
      </c>
    </row>
    <row r="672" spans="1:44" x14ac:dyDescent="0.25">
      <c r="A672">
        <v>24</v>
      </c>
      <c r="B672" t="s">
        <v>218</v>
      </c>
      <c r="C672">
        <v>-34.791998249999999</v>
      </c>
      <c r="D672">
        <v>150.4714961</v>
      </c>
      <c r="E672">
        <v>0</v>
      </c>
      <c r="F672">
        <v>4168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R672">
        <v>5394</v>
      </c>
      <c r="U672">
        <v>0</v>
      </c>
      <c r="V672">
        <v>400</v>
      </c>
      <c r="X672">
        <v>0</v>
      </c>
      <c r="Y672">
        <v>0</v>
      </c>
      <c r="Z672">
        <v>500</v>
      </c>
    </row>
    <row r="673" spans="1:44" x14ac:dyDescent="0.25">
      <c r="A673">
        <v>983</v>
      </c>
      <c r="B673" t="s">
        <v>219</v>
      </c>
      <c r="C673">
        <v>-34.840400000000002</v>
      </c>
      <c r="D673">
        <v>148.90940000000001</v>
      </c>
      <c r="AA673">
        <v>0</v>
      </c>
      <c r="AB673">
        <v>0</v>
      </c>
      <c r="AD673">
        <v>100</v>
      </c>
      <c r="AE673">
        <v>0</v>
      </c>
      <c r="AF673">
        <v>0</v>
      </c>
      <c r="AH673">
        <v>0</v>
      </c>
      <c r="AK673">
        <v>0</v>
      </c>
      <c r="AO673">
        <v>0</v>
      </c>
    </row>
    <row r="674" spans="1:44" x14ac:dyDescent="0.25">
      <c r="A674">
        <v>233</v>
      </c>
      <c r="B674" t="s">
        <v>411</v>
      </c>
      <c r="C674">
        <v>-34.855787720000002</v>
      </c>
      <c r="D674">
        <v>150.59307570000001</v>
      </c>
      <c r="E674">
        <v>11431</v>
      </c>
      <c r="F674">
        <v>10937</v>
      </c>
      <c r="G674">
        <v>0</v>
      </c>
      <c r="H674">
        <v>0</v>
      </c>
      <c r="I674">
        <v>652</v>
      </c>
      <c r="J674">
        <v>3704</v>
      </c>
      <c r="K674">
        <v>0</v>
      </c>
      <c r="L674">
        <v>0</v>
      </c>
      <c r="N674">
        <v>11000</v>
      </c>
      <c r="O674">
        <v>0</v>
      </c>
      <c r="P674">
        <v>0</v>
      </c>
      <c r="Q674">
        <v>0</v>
      </c>
      <c r="R674">
        <v>260</v>
      </c>
      <c r="S674">
        <v>0</v>
      </c>
      <c r="T674">
        <v>0</v>
      </c>
      <c r="U674">
        <v>637</v>
      </c>
      <c r="V674">
        <v>2777</v>
      </c>
      <c r="W674">
        <v>0</v>
      </c>
      <c r="X674">
        <v>0</v>
      </c>
      <c r="Y674">
        <v>0</v>
      </c>
      <c r="Z674">
        <v>0</v>
      </c>
      <c r="AB674">
        <v>0</v>
      </c>
      <c r="AF674">
        <v>0</v>
      </c>
      <c r="AR674">
        <v>0</v>
      </c>
    </row>
    <row r="675" spans="1:44" x14ac:dyDescent="0.25">
      <c r="A675">
        <v>913</v>
      </c>
      <c r="B675" t="s">
        <v>62</v>
      </c>
      <c r="C675">
        <v>-34.858400000000003</v>
      </c>
      <c r="D675">
        <v>150.6003</v>
      </c>
      <c r="W675">
        <v>1176</v>
      </c>
      <c r="X675">
        <v>650</v>
      </c>
      <c r="Y675">
        <v>3025</v>
      </c>
      <c r="Z675">
        <v>10000</v>
      </c>
      <c r="AA675">
        <v>9034</v>
      </c>
      <c r="AB675">
        <v>300</v>
      </c>
      <c r="AC675">
        <v>1310</v>
      </c>
      <c r="AD675">
        <v>7772</v>
      </c>
      <c r="AE675">
        <v>1976</v>
      </c>
      <c r="AF675">
        <v>1380</v>
      </c>
      <c r="AG675">
        <v>11168</v>
      </c>
      <c r="AH675">
        <v>6268</v>
      </c>
      <c r="AK675">
        <v>2763</v>
      </c>
      <c r="AO675">
        <v>4720</v>
      </c>
      <c r="AP675">
        <v>8350</v>
      </c>
      <c r="AQ675">
        <v>728</v>
      </c>
      <c r="AR675">
        <v>439</v>
      </c>
    </row>
    <row r="676" spans="1:44" x14ac:dyDescent="0.25">
      <c r="A676">
        <v>30</v>
      </c>
      <c r="B676" t="s">
        <v>412</v>
      </c>
      <c r="C676">
        <v>-34.893436280000003</v>
      </c>
      <c r="D676">
        <v>150.74594429999999</v>
      </c>
      <c r="F676">
        <v>0</v>
      </c>
      <c r="G676">
        <v>0</v>
      </c>
      <c r="H676">
        <v>0</v>
      </c>
      <c r="I676">
        <v>0</v>
      </c>
      <c r="J676">
        <v>0</v>
      </c>
      <c r="M676">
        <v>0</v>
      </c>
      <c r="N676">
        <v>0</v>
      </c>
      <c r="O676">
        <v>0</v>
      </c>
      <c r="P676">
        <v>0</v>
      </c>
      <c r="R676">
        <v>6739</v>
      </c>
      <c r="U676">
        <v>0</v>
      </c>
      <c r="X676">
        <v>0</v>
      </c>
      <c r="Y676">
        <v>0</v>
      </c>
    </row>
    <row r="677" spans="1:44" x14ac:dyDescent="0.25">
      <c r="A677">
        <v>1287</v>
      </c>
      <c r="B677" t="s">
        <v>838</v>
      </c>
      <c r="C677">
        <v>-34.912100000000002</v>
      </c>
      <c r="D677">
        <v>150.57249999999999</v>
      </c>
      <c r="AQ677">
        <v>1500</v>
      </c>
      <c r="AR677">
        <v>1917</v>
      </c>
    </row>
    <row r="678" spans="1:44" x14ac:dyDescent="0.25">
      <c r="A678">
        <v>209</v>
      </c>
      <c r="B678" t="s">
        <v>63</v>
      </c>
      <c r="C678">
        <v>-34.915700000000001</v>
      </c>
      <c r="D678">
        <v>138.60679999999999</v>
      </c>
      <c r="E678">
        <v>570</v>
      </c>
      <c r="F678">
        <v>470</v>
      </c>
      <c r="G678">
        <v>833</v>
      </c>
      <c r="H678">
        <v>1079</v>
      </c>
      <c r="I678">
        <v>1334</v>
      </c>
      <c r="J678">
        <v>1324</v>
      </c>
      <c r="K678">
        <v>1079</v>
      </c>
      <c r="L678">
        <v>3150</v>
      </c>
      <c r="M678">
        <v>2835</v>
      </c>
      <c r="N678">
        <v>2785</v>
      </c>
      <c r="O678">
        <v>2050</v>
      </c>
      <c r="P678">
        <v>2345</v>
      </c>
      <c r="Q678">
        <v>2821</v>
      </c>
      <c r="R678">
        <v>3750</v>
      </c>
      <c r="S678">
        <v>4008</v>
      </c>
      <c r="T678">
        <v>4175</v>
      </c>
      <c r="U678">
        <v>4826</v>
      </c>
      <c r="V678">
        <v>7862</v>
      </c>
      <c r="W678">
        <v>10075</v>
      </c>
      <c r="X678">
        <v>9745</v>
      </c>
      <c r="Y678">
        <v>9850</v>
      </c>
      <c r="Z678">
        <v>9407</v>
      </c>
      <c r="AA678">
        <v>17434</v>
      </c>
      <c r="AB678">
        <v>22000</v>
      </c>
      <c r="AC678">
        <v>16945</v>
      </c>
      <c r="AD678">
        <v>11850</v>
      </c>
      <c r="AE678">
        <v>19275</v>
      </c>
      <c r="AF678">
        <v>19614</v>
      </c>
      <c r="AG678">
        <v>18222</v>
      </c>
      <c r="AH678">
        <v>15787</v>
      </c>
      <c r="AK678">
        <v>27050</v>
      </c>
      <c r="AO678">
        <v>29728</v>
      </c>
      <c r="AP678">
        <v>28000</v>
      </c>
      <c r="AQ678">
        <v>24025</v>
      </c>
      <c r="AR678">
        <v>24000</v>
      </c>
    </row>
    <row r="679" spans="1:44" x14ac:dyDescent="0.25">
      <c r="A679">
        <v>1191</v>
      </c>
      <c r="B679" t="s">
        <v>820</v>
      </c>
      <c r="C679">
        <v>-35.045000000000002</v>
      </c>
      <c r="D679">
        <v>150.67420000000001</v>
      </c>
      <c r="AH679">
        <v>1353</v>
      </c>
    </row>
    <row r="680" spans="1:44" x14ac:dyDescent="0.25">
      <c r="A680">
        <v>259</v>
      </c>
      <c r="B680" t="s">
        <v>705</v>
      </c>
      <c r="C680">
        <v>-35.055528870000003</v>
      </c>
      <c r="D680">
        <v>150.5624718</v>
      </c>
      <c r="F680">
        <v>0</v>
      </c>
    </row>
    <row r="681" spans="1:44" x14ac:dyDescent="0.25">
      <c r="A681">
        <v>232</v>
      </c>
      <c r="B681" t="s">
        <v>220</v>
      </c>
      <c r="C681">
        <v>-35.070053059999999</v>
      </c>
      <c r="D681">
        <v>150.52651900000001</v>
      </c>
      <c r="E681">
        <v>35858</v>
      </c>
      <c r="F681">
        <v>2621</v>
      </c>
      <c r="G681">
        <v>0</v>
      </c>
      <c r="I681">
        <v>0</v>
      </c>
      <c r="J681">
        <v>507</v>
      </c>
      <c r="K681">
        <v>296</v>
      </c>
      <c r="O681">
        <v>750</v>
      </c>
      <c r="P681">
        <v>0</v>
      </c>
      <c r="Q681">
        <v>0</v>
      </c>
      <c r="R681">
        <v>4500</v>
      </c>
      <c r="V681">
        <v>400</v>
      </c>
      <c r="W681">
        <v>0</v>
      </c>
      <c r="Z681">
        <v>450</v>
      </c>
      <c r="AA681">
        <v>725</v>
      </c>
      <c r="AB681">
        <v>0</v>
      </c>
      <c r="AD681">
        <v>0</v>
      </c>
      <c r="AE681">
        <v>0</v>
      </c>
      <c r="AF681">
        <v>0</v>
      </c>
    </row>
    <row r="682" spans="1:44" x14ac:dyDescent="0.25">
      <c r="A682">
        <v>641</v>
      </c>
      <c r="B682" t="s">
        <v>413</v>
      </c>
      <c r="C682">
        <v>-35.1175</v>
      </c>
      <c r="D682">
        <v>147.38944000000001</v>
      </c>
      <c r="F682">
        <v>0</v>
      </c>
      <c r="G682">
        <v>180</v>
      </c>
      <c r="H682">
        <v>0</v>
      </c>
      <c r="I682">
        <v>180</v>
      </c>
      <c r="J682">
        <v>0</v>
      </c>
      <c r="K682">
        <v>0</v>
      </c>
      <c r="L682">
        <v>440</v>
      </c>
      <c r="M682">
        <v>60</v>
      </c>
      <c r="N682">
        <v>30</v>
      </c>
      <c r="P682">
        <v>1800</v>
      </c>
      <c r="Q682">
        <v>40</v>
      </c>
    </row>
    <row r="683" spans="1:44" x14ac:dyDescent="0.25">
      <c r="A683">
        <v>785</v>
      </c>
      <c r="B683" t="s">
        <v>706</v>
      </c>
      <c r="C683">
        <v>-35.121299999999998</v>
      </c>
      <c r="D683">
        <v>150.68129999999999</v>
      </c>
      <c r="L683">
        <v>0</v>
      </c>
      <c r="M683">
        <v>0</v>
      </c>
      <c r="N683">
        <v>0</v>
      </c>
    </row>
    <row r="684" spans="1:44" x14ac:dyDescent="0.25">
      <c r="A684">
        <v>862</v>
      </c>
      <c r="B684" t="s">
        <v>707</v>
      </c>
      <c r="C684">
        <v>-35.223599999999998</v>
      </c>
      <c r="D684">
        <v>149.06290000000001</v>
      </c>
      <c r="R684">
        <v>0</v>
      </c>
    </row>
    <row r="685" spans="1:44" x14ac:dyDescent="0.25">
      <c r="A685">
        <v>98</v>
      </c>
      <c r="B685" t="s">
        <v>221</v>
      </c>
      <c r="C685">
        <v>-35.256751569999999</v>
      </c>
      <c r="D685">
        <v>150.41966009999999</v>
      </c>
      <c r="E685">
        <v>69960</v>
      </c>
      <c r="F685">
        <v>21810</v>
      </c>
      <c r="G685">
        <v>0</v>
      </c>
      <c r="H685">
        <v>0</v>
      </c>
      <c r="I685">
        <v>0</v>
      </c>
      <c r="J685">
        <v>853</v>
      </c>
      <c r="K685">
        <v>2789</v>
      </c>
      <c r="L685">
        <v>0</v>
      </c>
      <c r="M685">
        <v>0</v>
      </c>
      <c r="N685">
        <v>436</v>
      </c>
      <c r="O685">
        <v>0</v>
      </c>
      <c r="P685">
        <v>0</v>
      </c>
      <c r="Q685">
        <v>0</v>
      </c>
      <c r="S685">
        <v>0</v>
      </c>
      <c r="T685">
        <v>0</v>
      </c>
      <c r="U685">
        <v>350</v>
      </c>
      <c r="V685">
        <v>1500</v>
      </c>
      <c r="X685">
        <v>0</v>
      </c>
      <c r="Y685">
        <v>0</v>
      </c>
      <c r="Z685">
        <v>4000</v>
      </c>
      <c r="AA685">
        <v>0</v>
      </c>
      <c r="AD685">
        <v>750</v>
      </c>
      <c r="AF685">
        <v>0</v>
      </c>
      <c r="AH685">
        <v>0</v>
      </c>
    </row>
    <row r="686" spans="1:44" x14ac:dyDescent="0.25">
      <c r="A686">
        <v>721</v>
      </c>
      <c r="B686" t="s">
        <v>708</v>
      </c>
      <c r="C686">
        <v>-35.279200000000003</v>
      </c>
      <c r="D686">
        <v>147.73159999999999</v>
      </c>
      <c r="H686">
        <v>0</v>
      </c>
      <c r="I686">
        <v>0</v>
      </c>
    </row>
    <row r="687" spans="1:44" x14ac:dyDescent="0.25">
      <c r="A687">
        <v>210</v>
      </c>
      <c r="B687" t="s">
        <v>222</v>
      </c>
      <c r="C687">
        <v>-35.289049489999996</v>
      </c>
      <c r="D687">
        <v>149.1317617</v>
      </c>
      <c r="E687">
        <v>0</v>
      </c>
      <c r="F687">
        <v>413</v>
      </c>
      <c r="G687">
        <v>500</v>
      </c>
      <c r="H687">
        <v>0</v>
      </c>
      <c r="I687">
        <v>0</v>
      </c>
      <c r="J687">
        <v>2194</v>
      </c>
      <c r="K687">
        <v>6580</v>
      </c>
      <c r="L687">
        <v>0</v>
      </c>
      <c r="M687">
        <v>836</v>
      </c>
      <c r="N687">
        <v>2393</v>
      </c>
      <c r="O687">
        <v>0</v>
      </c>
      <c r="P687">
        <v>0</v>
      </c>
      <c r="Q687">
        <v>180</v>
      </c>
      <c r="R687">
        <v>690</v>
      </c>
      <c r="S687">
        <v>0</v>
      </c>
      <c r="T687">
        <v>0</v>
      </c>
      <c r="U687">
        <v>1208</v>
      </c>
      <c r="V687">
        <v>2860</v>
      </c>
      <c r="W687">
        <v>0</v>
      </c>
      <c r="X687">
        <v>0</v>
      </c>
      <c r="Y687">
        <v>4050</v>
      </c>
      <c r="Z687">
        <v>4050</v>
      </c>
      <c r="AA687">
        <v>618</v>
      </c>
      <c r="AB687">
        <v>0</v>
      </c>
      <c r="AC687">
        <v>698</v>
      </c>
      <c r="AD687">
        <v>5425</v>
      </c>
      <c r="AE687">
        <v>200</v>
      </c>
      <c r="AF687">
        <v>0</v>
      </c>
      <c r="AG687">
        <v>1508</v>
      </c>
      <c r="AH687">
        <v>4309</v>
      </c>
      <c r="AK687">
        <v>3796</v>
      </c>
      <c r="AO687">
        <v>1090</v>
      </c>
      <c r="AP687">
        <v>3634</v>
      </c>
      <c r="AQ687">
        <v>0</v>
      </c>
      <c r="AR687">
        <v>0</v>
      </c>
    </row>
    <row r="688" spans="1:44" x14ac:dyDescent="0.25">
      <c r="A688">
        <v>632</v>
      </c>
      <c r="B688" t="s">
        <v>224</v>
      </c>
      <c r="C688">
        <v>-35.300800000000002</v>
      </c>
      <c r="D688">
        <v>148.2302</v>
      </c>
      <c r="F688">
        <v>18</v>
      </c>
      <c r="G688">
        <v>1355</v>
      </c>
      <c r="H688">
        <v>1000</v>
      </c>
      <c r="J688">
        <v>1100</v>
      </c>
      <c r="K688">
        <v>2000</v>
      </c>
      <c r="L688">
        <v>0</v>
      </c>
      <c r="M688">
        <v>0</v>
      </c>
      <c r="N688">
        <v>685</v>
      </c>
      <c r="O688">
        <v>0</v>
      </c>
      <c r="P688">
        <v>0</v>
      </c>
      <c r="R688">
        <v>65</v>
      </c>
      <c r="T688">
        <v>0</v>
      </c>
      <c r="U688">
        <v>300</v>
      </c>
      <c r="V688">
        <v>475</v>
      </c>
      <c r="W688">
        <v>200</v>
      </c>
      <c r="X688">
        <v>250</v>
      </c>
      <c r="Z688">
        <v>550</v>
      </c>
      <c r="AA688">
        <v>160</v>
      </c>
      <c r="AB688">
        <v>26</v>
      </c>
      <c r="AR688">
        <v>0</v>
      </c>
    </row>
    <row r="689" spans="1:44" x14ac:dyDescent="0.25">
      <c r="A689">
        <v>1192</v>
      </c>
      <c r="B689" t="s">
        <v>821</v>
      </c>
      <c r="C689">
        <v>-35.356999999999999</v>
      </c>
      <c r="D689">
        <v>149.23849999999999</v>
      </c>
      <c r="AH689">
        <v>100</v>
      </c>
    </row>
    <row r="690" spans="1:44" x14ac:dyDescent="0.25">
      <c r="A690">
        <v>102</v>
      </c>
      <c r="B690" t="s">
        <v>709</v>
      </c>
      <c r="C690">
        <v>-35.421153099999998</v>
      </c>
      <c r="D690">
        <v>150.02742710000001</v>
      </c>
      <c r="F690">
        <v>0</v>
      </c>
    </row>
    <row r="691" spans="1:44" x14ac:dyDescent="0.25">
      <c r="A691">
        <v>223</v>
      </c>
      <c r="B691" t="s">
        <v>225</v>
      </c>
      <c r="C691">
        <v>-35.443124519999998</v>
      </c>
      <c r="D691">
        <v>149.8134742</v>
      </c>
      <c r="F691">
        <v>0</v>
      </c>
      <c r="G691">
        <v>0</v>
      </c>
      <c r="H691">
        <v>0</v>
      </c>
      <c r="I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U691">
        <v>0</v>
      </c>
      <c r="V691">
        <v>420</v>
      </c>
      <c r="W691">
        <v>0</v>
      </c>
      <c r="X691">
        <v>0</v>
      </c>
      <c r="Y691">
        <v>0</v>
      </c>
      <c r="Z691">
        <v>227</v>
      </c>
      <c r="AA691">
        <v>30</v>
      </c>
      <c r="AB691">
        <v>0</v>
      </c>
      <c r="AC691">
        <v>0</v>
      </c>
      <c r="AF691">
        <v>0</v>
      </c>
      <c r="AH691">
        <v>0</v>
      </c>
    </row>
    <row r="692" spans="1:44" x14ac:dyDescent="0.25">
      <c r="A692">
        <v>51</v>
      </c>
      <c r="B692" t="s">
        <v>226</v>
      </c>
      <c r="C692">
        <v>-35.526577430000003</v>
      </c>
      <c r="D692">
        <v>150.3014135</v>
      </c>
      <c r="E692">
        <v>8259</v>
      </c>
      <c r="F692">
        <v>41235</v>
      </c>
      <c r="G692">
        <v>22878</v>
      </c>
      <c r="H692">
        <v>0</v>
      </c>
      <c r="I692">
        <v>0</v>
      </c>
      <c r="J692">
        <v>1054</v>
      </c>
      <c r="K692">
        <v>650</v>
      </c>
      <c r="L692">
        <v>0</v>
      </c>
      <c r="M692">
        <v>0</v>
      </c>
      <c r="N692">
        <v>1</v>
      </c>
      <c r="O692">
        <v>21675</v>
      </c>
      <c r="P692">
        <v>2249</v>
      </c>
      <c r="Q692">
        <v>0</v>
      </c>
      <c r="R692">
        <v>7982</v>
      </c>
      <c r="S692">
        <v>108818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1114</v>
      </c>
      <c r="AB692">
        <v>0</v>
      </c>
      <c r="AC692">
        <v>0</v>
      </c>
      <c r="AF692">
        <v>0</v>
      </c>
      <c r="AH692">
        <v>0</v>
      </c>
      <c r="AK692">
        <v>0</v>
      </c>
      <c r="AP692">
        <v>1000</v>
      </c>
      <c r="AR692">
        <v>20000</v>
      </c>
    </row>
    <row r="693" spans="1:44" x14ac:dyDescent="0.25">
      <c r="A693">
        <v>984</v>
      </c>
      <c r="B693" t="s">
        <v>227</v>
      </c>
      <c r="C693">
        <v>-35.571199999999997</v>
      </c>
      <c r="D693">
        <v>150.05799999999999</v>
      </c>
      <c r="AA693">
        <v>700</v>
      </c>
    </row>
    <row r="694" spans="1:44" x14ac:dyDescent="0.25">
      <c r="A694">
        <v>75</v>
      </c>
      <c r="B694" t="s">
        <v>710</v>
      </c>
      <c r="C694">
        <v>-35.633649820000002</v>
      </c>
      <c r="D694">
        <v>150.0228845</v>
      </c>
      <c r="F694">
        <v>0</v>
      </c>
      <c r="G694">
        <v>0</v>
      </c>
    </row>
    <row r="695" spans="1:44" x14ac:dyDescent="0.25">
      <c r="A695">
        <v>471</v>
      </c>
      <c r="B695" t="s">
        <v>228</v>
      </c>
      <c r="C695">
        <v>-35.712229999999998</v>
      </c>
      <c r="D695">
        <v>150.17904999999999</v>
      </c>
      <c r="E695">
        <v>1500</v>
      </c>
      <c r="F695">
        <v>10199</v>
      </c>
      <c r="G695">
        <v>12000</v>
      </c>
      <c r="H695">
        <v>12358</v>
      </c>
      <c r="I695">
        <v>442</v>
      </c>
      <c r="J695">
        <v>22437</v>
      </c>
      <c r="K695">
        <v>3492</v>
      </c>
      <c r="L695">
        <v>0</v>
      </c>
      <c r="M695">
        <v>0</v>
      </c>
      <c r="N695">
        <v>780</v>
      </c>
      <c r="O695">
        <v>4576</v>
      </c>
      <c r="P695">
        <v>2560</v>
      </c>
      <c r="Q695">
        <v>2637</v>
      </c>
      <c r="R695">
        <v>14619</v>
      </c>
      <c r="S695">
        <v>40222</v>
      </c>
      <c r="U695">
        <v>0</v>
      </c>
      <c r="W695">
        <v>0</v>
      </c>
      <c r="X695">
        <v>0</v>
      </c>
      <c r="Y695">
        <v>0</v>
      </c>
      <c r="Z695">
        <v>554</v>
      </c>
      <c r="AB695">
        <v>0</v>
      </c>
      <c r="AC695">
        <v>0</v>
      </c>
      <c r="AE695">
        <v>4500</v>
      </c>
      <c r="AF695">
        <v>0</v>
      </c>
      <c r="AG695">
        <v>300</v>
      </c>
      <c r="AH695">
        <v>160</v>
      </c>
      <c r="AO695">
        <v>0</v>
      </c>
      <c r="AQ695">
        <v>12000</v>
      </c>
      <c r="AR695">
        <v>4080</v>
      </c>
    </row>
    <row r="696" spans="1:44" x14ac:dyDescent="0.25">
      <c r="A696">
        <v>495</v>
      </c>
      <c r="B696" t="s">
        <v>229</v>
      </c>
      <c r="C696">
        <v>-35.71866</v>
      </c>
      <c r="D696">
        <v>150.18433999999999</v>
      </c>
      <c r="F696">
        <v>1467</v>
      </c>
      <c r="G696">
        <v>2420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122000</v>
      </c>
      <c r="T696">
        <v>0</v>
      </c>
      <c r="U696">
        <v>392</v>
      </c>
      <c r="V696">
        <v>260</v>
      </c>
      <c r="W696">
        <v>126</v>
      </c>
      <c r="X696">
        <v>0</v>
      </c>
      <c r="Y696">
        <v>1250</v>
      </c>
      <c r="Z696">
        <v>555</v>
      </c>
      <c r="AB696">
        <v>540</v>
      </c>
      <c r="AC696">
        <v>452</v>
      </c>
      <c r="AE696">
        <v>2200</v>
      </c>
      <c r="AF696">
        <v>0</v>
      </c>
      <c r="AG696">
        <v>1150</v>
      </c>
      <c r="AH696">
        <v>900</v>
      </c>
      <c r="AK696">
        <v>509</v>
      </c>
      <c r="AO696">
        <v>2200</v>
      </c>
      <c r="AP696">
        <v>12660</v>
      </c>
      <c r="AQ696">
        <v>16500</v>
      </c>
      <c r="AR696">
        <v>0</v>
      </c>
    </row>
    <row r="697" spans="1:44" x14ac:dyDescent="0.25">
      <c r="A697">
        <v>1194</v>
      </c>
      <c r="B697" t="s">
        <v>822</v>
      </c>
      <c r="C697">
        <v>-35.861800000000002</v>
      </c>
      <c r="D697">
        <v>150.15270000000001</v>
      </c>
      <c r="AH697">
        <v>2600</v>
      </c>
    </row>
    <row r="698" spans="1:44" x14ac:dyDescent="0.25">
      <c r="A698">
        <v>68</v>
      </c>
      <c r="B698" t="s">
        <v>414</v>
      </c>
      <c r="C698">
        <v>-35.916066069999999</v>
      </c>
      <c r="D698">
        <v>150.14654100000001</v>
      </c>
      <c r="E698">
        <v>0</v>
      </c>
      <c r="F698">
        <v>10000</v>
      </c>
      <c r="G698">
        <v>0</v>
      </c>
      <c r="H698">
        <v>0</v>
      </c>
      <c r="J698">
        <v>0</v>
      </c>
      <c r="K698">
        <v>0</v>
      </c>
      <c r="N698">
        <v>2000</v>
      </c>
      <c r="O698">
        <v>0</v>
      </c>
      <c r="P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E698">
        <v>0</v>
      </c>
      <c r="AF698">
        <v>0</v>
      </c>
      <c r="AG698">
        <v>0</v>
      </c>
      <c r="AH698">
        <v>0</v>
      </c>
      <c r="AO698">
        <v>0</v>
      </c>
      <c r="AP698">
        <v>350</v>
      </c>
    </row>
    <row r="699" spans="1:44" x14ac:dyDescent="0.25">
      <c r="A699">
        <v>9</v>
      </c>
      <c r="B699" t="s">
        <v>711</v>
      </c>
      <c r="C699">
        <v>-35.989969799999997</v>
      </c>
      <c r="D699">
        <v>150.0625781</v>
      </c>
      <c r="F699">
        <v>0</v>
      </c>
      <c r="G699">
        <v>0</v>
      </c>
      <c r="H699">
        <v>0</v>
      </c>
      <c r="N699">
        <v>0</v>
      </c>
      <c r="O699">
        <v>0</v>
      </c>
      <c r="P699">
        <v>0</v>
      </c>
      <c r="W699">
        <v>0</v>
      </c>
      <c r="AE699">
        <v>0</v>
      </c>
      <c r="AO699">
        <v>0</v>
      </c>
    </row>
    <row r="700" spans="1:44" x14ac:dyDescent="0.25">
      <c r="A700">
        <v>896</v>
      </c>
      <c r="B700" t="s">
        <v>230</v>
      </c>
      <c r="C700">
        <v>-36.044899999999998</v>
      </c>
      <c r="D700">
        <v>150.12129999999999</v>
      </c>
      <c r="V700">
        <v>100</v>
      </c>
      <c r="W700">
        <v>0</v>
      </c>
      <c r="Y700">
        <v>0</v>
      </c>
      <c r="AA700">
        <v>240</v>
      </c>
      <c r="AE700">
        <v>1200</v>
      </c>
      <c r="AG700">
        <v>0</v>
      </c>
      <c r="AH700">
        <v>290</v>
      </c>
      <c r="AO700">
        <v>0</v>
      </c>
    </row>
    <row r="701" spans="1:44" x14ac:dyDescent="0.25">
      <c r="A701">
        <v>751</v>
      </c>
      <c r="B701" t="s">
        <v>415</v>
      </c>
      <c r="C701">
        <v>-36.081000000000003</v>
      </c>
      <c r="D701">
        <v>146.9091</v>
      </c>
      <c r="I701">
        <v>250</v>
      </c>
      <c r="J701">
        <v>629</v>
      </c>
      <c r="K701">
        <v>0</v>
      </c>
      <c r="L701">
        <v>0</v>
      </c>
      <c r="O701">
        <v>0</v>
      </c>
    </row>
    <row r="702" spans="1:44" x14ac:dyDescent="0.25">
      <c r="A702">
        <v>797</v>
      </c>
      <c r="B702" t="s">
        <v>65</v>
      </c>
      <c r="C702">
        <v>-36.085000000000001</v>
      </c>
      <c r="D702">
        <v>146.89750000000001</v>
      </c>
      <c r="K702">
        <v>0</v>
      </c>
      <c r="M702">
        <v>1000</v>
      </c>
      <c r="O702">
        <v>2300</v>
      </c>
      <c r="P702">
        <v>3600</v>
      </c>
      <c r="Q702">
        <v>650</v>
      </c>
      <c r="R702">
        <v>475</v>
      </c>
      <c r="S702">
        <v>750</v>
      </c>
      <c r="T702">
        <v>750</v>
      </c>
      <c r="U702">
        <v>750</v>
      </c>
      <c r="V702">
        <v>750</v>
      </c>
      <c r="X702">
        <v>1100</v>
      </c>
      <c r="Z702">
        <v>2500</v>
      </c>
      <c r="AA702">
        <v>2500</v>
      </c>
      <c r="AB702">
        <v>2500</v>
      </c>
      <c r="AC702">
        <v>1400</v>
      </c>
      <c r="AD702">
        <v>3300</v>
      </c>
      <c r="AE702">
        <v>800</v>
      </c>
      <c r="AF702">
        <v>3150</v>
      </c>
      <c r="AG702">
        <v>2850</v>
      </c>
      <c r="AH702">
        <v>3400</v>
      </c>
      <c r="AQ702">
        <v>18000</v>
      </c>
      <c r="AR702">
        <v>5300</v>
      </c>
    </row>
    <row r="703" spans="1:44" x14ac:dyDescent="0.25">
      <c r="A703">
        <v>559</v>
      </c>
      <c r="B703" t="s">
        <v>66</v>
      </c>
      <c r="C703">
        <v>-36.096809999999998</v>
      </c>
      <c r="D703">
        <v>145.4402</v>
      </c>
      <c r="E703">
        <v>241</v>
      </c>
      <c r="F703">
        <v>155</v>
      </c>
      <c r="G703">
        <v>1080</v>
      </c>
      <c r="H703">
        <v>2200</v>
      </c>
      <c r="I703">
        <v>550</v>
      </c>
      <c r="J703">
        <v>309</v>
      </c>
      <c r="K703">
        <v>1900</v>
      </c>
      <c r="L703">
        <v>2350</v>
      </c>
      <c r="M703">
        <v>560</v>
      </c>
      <c r="O703">
        <v>1740</v>
      </c>
      <c r="P703">
        <v>180</v>
      </c>
      <c r="Q703">
        <v>300</v>
      </c>
      <c r="R703">
        <v>370</v>
      </c>
      <c r="S703">
        <v>1900</v>
      </c>
      <c r="T703">
        <v>3200</v>
      </c>
      <c r="U703">
        <v>1350</v>
      </c>
      <c r="V703">
        <v>1850</v>
      </c>
      <c r="X703">
        <v>1600</v>
      </c>
      <c r="Z703">
        <v>1440</v>
      </c>
      <c r="AA703">
        <v>6700</v>
      </c>
      <c r="AB703">
        <v>3400</v>
      </c>
      <c r="AC703">
        <v>350</v>
      </c>
      <c r="AD703">
        <v>1450</v>
      </c>
      <c r="AE703">
        <v>7000</v>
      </c>
      <c r="AF703">
        <v>1900</v>
      </c>
      <c r="AG703">
        <v>9500</v>
      </c>
      <c r="AH703">
        <v>1120</v>
      </c>
    </row>
    <row r="704" spans="1:44" x14ac:dyDescent="0.25">
      <c r="A704">
        <v>764</v>
      </c>
      <c r="B704" t="s">
        <v>712</v>
      </c>
      <c r="C704">
        <v>-36.106017000000001</v>
      </c>
      <c r="D704">
        <v>145.203147</v>
      </c>
      <c r="AE704">
        <v>0</v>
      </c>
      <c r="AG704">
        <v>0</v>
      </c>
    </row>
    <row r="705" spans="1:44" x14ac:dyDescent="0.25">
      <c r="A705">
        <v>650</v>
      </c>
      <c r="B705" t="s">
        <v>416</v>
      </c>
      <c r="C705">
        <v>-36.106900000000003</v>
      </c>
      <c r="D705">
        <v>146.90520000000001</v>
      </c>
      <c r="G705">
        <v>1700</v>
      </c>
      <c r="H705">
        <v>0</v>
      </c>
      <c r="I705">
        <v>0</v>
      </c>
      <c r="J705">
        <v>700</v>
      </c>
      <c r="K705">
        <v>0</v>
      </c>
      <c r="L705">
        <v>1032</v>
      </c>
      <c r="M705">
        <v>65</v>
      </c>
      <c r="O705">
        <v>0</v>
      </c>
      <c r="P705">
        <v>0</v>
      </c>
      <c r="Q705">
        <v>115</v>
      </c>
      <c r="R705">
        <v>500</v>
      </c>
      <c r="S705">
        <v>0</v>
      </c>
      <c r="T705">
        <v>0</v>
      </c>
      <c r="U705">
        <v>0</v>
      </c>
      <c r="V705">
        <v>0</v>
      </c>
      <c r="X705">
        <v>0</v>
      </c>
      <c r="Z705">
        <v>0</v>
      </c>
      <c r="AB705">
        <v>0</v>
      </c>
      <c r="AC705">
        <v>20</v>
      </c>
      <c r="AD705">
        <v>0</v>
      </c>
      <c r="AE705">
        <v>0</v>
      </c>
      <c r="AG705">
        <v>0</v>
      </c>
      <c r="AH705">
        <v>0</v>
      </c>
    </row>
    <row r="706" spans="1:44" x14ac:dyDescent="0.25">
      <c r="A706">
        <v>1193</v>
      </c>
      <c r="B706" t="s">
        <v>823</v>
      </c>
      <c r="C706">
        <v>-36.1569</v>
      </c>
      <c r="D706">
        <v>150.0951</v>
      </c>
      <c r="AH706">
        <v>320</v>
      </c>
    </row>
    <row r="707" spans="1:44" x14ac:dyDescent="0.25">
      <c r="A707">
        <v>74</v>
      </c>
      <c r="B707" t="s">
        <v>231</v>
      </c>
      <c r="C707">
        <v>-36.23164259</v>
      </c>
      <c r="D707">
        <v>150.09228239999999</v>
      </c>
      <c r="F707">
        <v>0</v>
      </c>
      <c r="G707">
        <v>0</v>
      </c>
      <c r="Y707">
        <v>0</v>
      </c>
      <c r="AE707">
        <v>4000</v>
      </c>
      <c r="AG707">
        <v>0</v>
      </c>
      <c r="AH707">
        <v>0</v>
      </c>
      <c r="AO707">
        <v>0</v>
      </c>
      <c r="AQ707">
        <v>21000</v>
      </c>
      <c r="AR707">
        <v>1000</v>
      </c>
    </row>
    <row r="708" spans="1:44" x14ac:dyDescent="0.25">
      <c r="A708">
        <v>767</v>
      </c>
      <c r="B708" t="s">
        <v>417</v>
      </c>
      <c r="C708">
        <v>-36.324719000000002</v>
      </c>
      <c r="D708">
        <v>145.04938100000001</v>
      </c>
      <c r="AE708">
        <v>0</v>
      </c>
      <c r="AG708">
        <v>0</v>
      </c>
    </row>
    <row r="709" spans="1:44" x14ac:dyDescent="0.25">
      <c r="A709">
        <v>1001</v>
      </c>
      <c r="B709" t="s">
        <v>232</v>
      </c>
      <c r="C709">
        <v>-36.368600000000001</v>
      </c>
      <c r="D709">
        <v>150.07210000000001</v>
      </c>
      <c r="AD709">
        <v>5000</v>
      </c>
    </row>
    <row r="710" spans="1:44" x14ac:dyDescent="0.25">
      <c r="A710">
        <v>798</v>
      </c>
      <c r="B710" t="s">
        <v>68</v>
      </c>
      <c r="C710">
        <v>-36.430900000000001</v>
      </c>
      <c r="D710">
        <v>145.22900000000001</v>
      </c>
      <c r="K710">
        <v>0</v>
      </c>
      <c r="L710">
        <v>0</v>
      </c>
      <c r="M710">
        <v>0</v>
      </c>
      <c r="O710">
        <v>0</v>
      </c>
      <c r="P710">
        <v>0</v>
      </c>
      <c r="Q710">
        <v>70</v>
      </c>
      <c r="R710">
        <v>400</v>
      </c>
      <c r="S710">
        <v>0</v>
      </c>
      <c r="T710">
        <v>0</v>
      </c>
      <c r="U710">
        <v>20</v>
      </c>
      <c r="V710">
        <v>0</v>
      </c>
      <c r="X710">
        <v>200</v>
      </c>
      <c r="Z710">
        <v>250</v>
      </c>
      <c r="AA710">
        <v>8000</v>
      </c>
      <c r="AB710">
        <v>3500</v>
      </c>
      <c r="AC710">
        <v>400</v>
      </c>
      <c r="AD710">
        <v>2000</v>
      </c>
      <c r="AE710">
        <v>14000</v>
      </c>
      <c r="AF710">
        <v>2000</v>
      </c>
      <c r="AG710">
        <v>2500</v>
      </c>
      <c r="AH710">
        <v>2000</v>
      </c>
      <c r="AO710">
        <v>2500</v>
      </c>
      <c r="AQ710">
        <v>6000</v>
      </c>
      <c r="AR710">
        <v>5000</v>
      </c>
    </row>
    <row r="711" spans="1:44" x14ac:dyDescent="0.25">
      <c r="A711">
        <v>12</v>
      </c>
      <c r="B711" t="s">
        <v>713</v>
      </c>
      <c r="C711">
        <v>-36.467630190000001</v>
      </c>
      <c r="D711">
        <v>150.01593030000001</v>
      </c>
      <c r="F711">
        <v>0</v>
      </c>
      <c r="G711">
        <v>0</v>
      </c>
      <c r="I711">
        <v>0</v>
      </c>
    </row>
    <row r="712" spans="1:44" x14ac:dyDescent="0.25">
      <c r="A712">
        <v>221</v>
      </c>
      <c r="B712" t="s">
        <v>69</v>
      </c>
      <c r="C712">
        <v>-36.681880020000001</v>
      </c>
      <c r="D712">
        <v>149.84887019999999</v>
      </c>
      <c r="E712">
        <v>15445</v>
      </c>
      <c r="F712">
        <v>29662</v>
      </c>
      <c r="G712">
        <v>0</v>
      </c>
      <c r="H712">
        <v>0</v>
      </c>
      <c r="I712">
        <v>10900</v>
      </c>
      <c r="J712">
        <v>14018</v>
      </c>
      <c r="K712">
        <v>18504</v>
      </c>
      <c r="L712">
        <v>9663</v>
      </c>
      <c r="M712">
        <v>7000</v>
      </c>
      <c r="N712">
        <v>26624</v>
      </c>
      <c r="O712">
        <v>0</v>
      </c>
      <c r="P712">
        <v>0</v>
      </c>
      <c r="Q712">
        <v>1590</v>
      </c>
      <c r="R712">
        <v>14004</v>
      </c>
      <c r="S712">
        <v>0</v>
      </c>
      <c r="T712">
        <v>0</v>
      </c>
      <c r="U712">
        <v>9000</v>
      </c>
      <c r="V712">
        <v>5460</v>
      </c>
      <c r="Z712">
        <v>4420</v>
      </c>
      <c r="AA712">
        <v>0</v>
      </c>
      <c r="AB712">
        <v>0</v>
      </c>
      <c r="AC712">
        <v>3738</v>
      </c>
      <c r="AD712">
        <v>27170</v>
      </c>
      <c r="AG712">
        <v>1287</v>
      </c>
      <c r="AH712">
        <v>1072</v>
      </c>
      <c r="AK712">
        <v>22974</v>
      </c>
      <c r="AP712">
        <v>4300</v>
      </c>
      <c r="AQ712">
        <v>0</v>
      </c>
      <c r="AR712">
        <v>0</v>
      </c>
    </row>
    <row r="713" spans="1:44" x14ac:dyDescent="0.25">
      <c r="A713">
        <v>222</v>
      </c>
      <c r="B713" t="s">
        <v>714</v>
      </c>
      <c r="C713">
        <v>-36.692330210000002</v>
      </c>
      <c r="D713">
        <v>149.95611969999999</v>
      </c>
      <c r="F713">
        <v>0</v>
      </c>
      <c r="G713">
        <v>0</v>
      </c>
      <c r="I713">
        <v>0</v>
      </c>
    </row>
    <row r="714" spans="1:44" x14ac:dyDescent="0.25">
      <c r="A714">
        <v>1153</v>
      </c>
      <c r="B714" t="s">
        <v>824</v>
      </c>
      <c r="C714">
        <v>-36.740600000000001</v>
      </c>
      <c r="D714">
        <v>147.16300000000001</v>
      </c>
      <c r="AH714">
        <v>50</v>
      </c>
    </row>
    <row r="715" spans="1:44" x14ac:dyDescent="0.25">
      <c r="A715">
        <v>267</v>
      </c>
      <c r="B715" t="s">
        <v>70</v>
      </c>
      <c r="C715">
        <v>-36.756682419999997</v>
      </c>
      <c r="D715">
        <v>144.2791517</v>
      </c>
      <c r="E715">
        <v>253</v>
      </c>
      <c r="G715">
        <v>3620</v>
      </c>
      <c r="H715">
        <v>3900</v>
      </c>
      <c r="I715">
        <v>500</v>
      </c>
      <c r="J715">
        <v>501</v>
      </c>
      <c r="K715">
        <v>5000</v>
      </c>
      <c r="L715">
        <v>5950</v>
      </c>
      <c r="M715">
        <v>800</v>
      </c>
      <c r="O715">
        <v>900</v>
      </c>
      <c r="P715">
        <v>290</v>
      </c>
      <c r="Q715">
        <v>350</v>
      </c>
      <c r="R715">
        <v>800</v>
      </c>
      <c r="S715">
        <v>1150</v>
      </c>
      <c r="T715">
        <v>950</v>
      </c>
      <c r="U715">
        <v>950</v>
      </c>
      <c r="V715">
        <v>1480</v>
      </c>
      <c r="W715">
        <v>12000</v>
      </c>
      <c r="X715">
        <v>2680</v>
      </c>
      <c r="AA715">
        <v>5900</v>
      </c>
      <c r="AD715">
        <v>725</v>
      </c>
      <c r="AE715">
        <v>11800</v>
      </c>
      <c r="AF715">
        <v>16390</v>
      </c>
      <c r="AG715">
        <v>1765</v>
      </c>
      <c r="AK715">
        <v>1263</v>
      </c>
      <c r="AO715">
        <v>1665</v>
      </c>
      <c r="AQ715">
        <v>3983</v>
      </c>
      <c r="AR715">
        <v>6853</v>
      </c>
    </row>
    <row r="716" spans="1:44" x14ac:dyDescent="0.25">
      <c r="A716">
        <v>1</v>
      </c>
      <c r="B716" t="s">
        <v>715</v>
      </c>
      <c r="C716">
        <v>-36.758384579999998</v>
      </c>
      <c r="D716">
        <v>149.7027746</v>
      </c>
      <c r="F716">
        <v>0</v>
      </c>
      <c r="G716">
        <v>0</v>
      </c>
      <c r="I716">
        <v>0</v>
      </c>
      <c r="V716">
        <v>0</v>
      </c>
    </row>
    <row r="717" spans="1:44" x14ac:dyDescent="0.25">
      <c r="A717">
        <v>3</v>
      </c>
      <c r="B717" t="s">
        <v>418</v>
      </c>
      <c r="C717">
        <v>-36.926863539999999</v>
      </c>
      <c r="D717">
        <v>149.84262050000001</v>
      </c>
      <c r="E717">
        <v>2543</v>
      </c>
      <c r="F717">
        <v>0</v>
      </c>
      <c r="G717">
        <v>0</v>
      </c>
      <c r="H717">
        <v>0</v>
      </c>
      <c r="I717">
        <v>0</v>
      </c>
      <c r="J717">
        <v>1440</v>
      </c>
      <c r="K717">
        <v>3500</v>
      </c>
      <c r="L717">
        <v>0</v>
      </c>
      <c r="M717">
        <v>0</v>
      </c>
      <c r="N717">
        <v>0</v>
      </c>
      <c r="O717">
        <v>0</v>
      </c>
      <c r="P717">
        <v>0</v>
      </c>
      <c r="R717">
        <v>300</v>
      </c>
      <c r="S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5">
      <c r="A718">
        <v>921</v>
      </c>
      <c r="B718" t="s">
        <v>716</v>
      </c>
      <c r="C718">
        <v>-36.9328</v>
      </c>
      <c r="D718">
        <v>149.87389999999999</v>
      </c>
      <c r="AF718">
        <v>0</v>
      </c>
      <c r="AO718">
        <v>0</v>
      </c>
      <c r="AP718">
        <v>450</v>
      </c>
    </row>
    <row r="719" spans="1:44" x14ac:dyDescent="0.25">
      <c r="A719">
        <v>2</v>
      </c>
      <c r="B719" t="s">
        <v>717</v>
      </c>
      <c r="C719">
        <v>-36.95710176</v>
      </c>
      <c r="D719">
        <v>149.8660371</v>
      </c>
      <c r="F719">
        <v>0</v>
      </c>
      <c r="G719">
        <v>0</v>
      </c>
    </row>
    <row r="720" spans="1:44" x14ac:dyDescent="0.25">
      <c r="A720">
        <v>800</v>
      </c>
      <c r="B720" t="s">
        <v>718</v>
      </c>
      <c r="C720">
        <v>-37.017299999999999</v>
      </c>
      <c r="D720">
        <v>145.12180000000001</v>
      </c>
      <c r="K720">
        <v>0</v>
      </c>
      <c r="P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X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G720">
        <v>0</v>
      </c>
    </row>
    <row r="721" spans="1:44" x14ac:dyDescent="0.25">
      <c r="A721">
        <v>193</v>
      </c>
      <c r="B721" t="s">
        <v>719</v>
      </c>
      <c r="C721">
        <v>-37.467782800000002</v>
      </c>
      <c r="D721">
        <v>149.8016322</v>
      </c>
      <c r="G721">
        <v>0</v>
      </c>
      <c r="H721">
        <v>0</v>
      </c>
      <c r="I721">
        <v>0</v>
      </c>
      <c r="J721">
        <v>0</v>
      </c>
      <c r="K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K721">
        <v>0</v>
      </c>
      <c r="AO721">
        <v>0</v>
      </c>
      <c r="AQ721">
        <v>0</v>
      </c>
      <c r="AR721">
        <v>0</v>
      </c>
    </row>
    <row r="722" spans="1:44" x14ac:dyDescent="0.25">
      <c r="A722">
        <v>903</v>
      </c>
      <c r="B722" t="s">
        <v>419</v>
      </c>
      <c r="C722">
        <v>-37.494900000000001</v>
      </c>
      <c r="D722">
        <v>148.17160000000001</v>
      </c>
      <c r="V722">
        <v>900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K722">
        <v>0</v>
      </c>
      <c r="AO722">
        <v>0</v>
      </c>
      <c r="AQ722">
        <v>0</v>
      </c>
      <c r="AR722">
        <v>0</v>
      </c>
    </row>
    <row r="723" spans="1:44" x14ac:dyDescent="0.25">
      <c r="A723">
        <v>208</v>
      </c>
      <c r="B723" t="s">
        <v>71</v>
      </c>
      <c r="C723">
        <v>-37.540887009999999</v>
      </c>
      <c r="D723">
        <v>149.74376910000001</v>
      </c>
      <c r="F723">
        <v>3000</v>
      </c>
      <c r="G723">
        <v>0</v>
      </c>
      <c r="H723">
        <v>0</v>
      </c>
      <c r="I723">
        <v>0</v>
      </c>
      <c r="J723">
        <v>208</v>
      </c>
      <c r="K723">
        <v>0</v>
      </c>
      <c r="O723">
        <v>0</v>
      </c>
      <c r="P723">
        <v>0</v>
      </c>
      <c r="Q723">
        <v>0</v>
      </c>
      <c r="R723">
        <v>1600</v>
      </c>
      <c r="S723">
        <v>0</v>
      </c>
      <c r="V723">
        <v>100</v>
      </c>
      <c r="W723">
        <v>2100</v>
      </c>
      <c r="X723">
        <v>0</v>
      </c>
      <c r="Y723">
        <v>0</v>
      </c>
      <c r="Z723">
        <v>10000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K723">
        <v>100</v>
      </c>
      <c r="AO723">
        <v>0</v>
      </c>
      <c r="AQ723">
        <v>0</v>
      </c>
      <c r="AR723">
        <v>0</v>
      </c>
    </row>
    <row r="724" spans="1:44" x14ac:dyDescent="0.25">
      <c r="A724">
        <v>1046</v>
      </c>
      <c r="B724" t="s">
        <v>825</v>
      </c>
      <c r="C724">
        <v>-37.541578000000001</v>
      </c>
      <c r="D724">
        <v>140.39647199999999</v>
      </c>
      <c r="AP724">
        <v>2060</v>
      </c>
    </row>
    <row r="725" spans="1:44" x14ac:dyDescent="0.25">
      <c r="A725">
        <v>194</v>
      </c>
      <c r="B725" t="s">
        <v>720</v>
      </c>
      <c r="C725">
        <v>-37.563321909999999</v>
      </c>
      <c r="D725">
        <v>149.15086099999999</v>
      </c>
      <c r="G725">
        <v>0</v>
      </c>
      <c r="H725">
        <v>0</v>
      </c>
      <c r="I725">
        <v>0</v>
      </c>
      <c r="J725">
        <v>0</v>
      </c>
      <c r="K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K725">
        <v>0</v>
      </c>
      <c r="AO725">
        <v>0</v>
      </c>
      <c r="AQ725">
        <v>0</v>
      </c>
      <c r="AR725">
        <v>0</v>
      </c>
    </row>
    <row r="726" spans="1:44" x14ac:dyDescent="0.25">
      <c r="A726">
        <v>268</v>
      </c>
      <c r="B726" t="s">
        <v>721</v>
      </c>
      <c r="C726">
        <v>-37.643822149999998</v>
      </c>
      <c r="D726">
        <v>144.4958694</v>
      </c>
      <c r="AD726">
        <v>0</v>
      </c>
    </row>
    <row r="727" spans="1:44" x14ac:dyDescent="0.25">
      <c r="A727">
        <v>1290</v>
      </c>
      <c r="B727" t="s">
        <v>839</v>
      </c>
      <c r="C727">
        <v>-37.7134</v>
      </c>
      <c r="D727">
        <v>148.45689999999999</v>
      </c>
      <c r="AR727">
        <v>0</v>
      </c>
    </row>
    <row r="728" spans="1:44" x14ac:dyDescent="0.25">
      <c r="A728">
        <v>1261</v>
      </c>
      <c r="B728" t="s">
        <v>826</v>
      </c>
      <c r="C728">
        <v>-37.718899999999998</v>
      </c>
      <c r="D728">
        <v>145.75239999999999</v>
      </c>
      <c r="AP728">
        <v>500</v>
      </c>
    </row>
    <row r="729" spans="1:44" x14ac:dyDescent="0.25">
      <c r="A729">
        <v>195</v>
      </c>
      <c r="B729" t="s">
        <v>233</v>
      </c>
      <c r="C729">
        <v>-37.732050139999998</v>
      </c>
      <c r="D729">
        <v>148.680836</v>
      </c>
      <c r="G729">
        <v>0</v>
      </c>
      <c r="H729">
        <v>0</v>
      </c>
      <c r="I729">
        <v>0</v>
      </c>
      <c r="J729">
        <v>0</v>
      </c>
      <c r="K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V729">
        <v>0</v>
      </c>
      <c r="W729">
        <v>0</v>
      </c>
      <c r="X729">
        <v>0</v>
      </c>
      <c r="Y729">
        <v>0</v>
      </c>
      <c r="Z729">
        <v>2000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K729">
        <v>0</v>
      </c>
      <c r="AO729">
        <v>0</v>
      </c>
      <c r="AQ729">
        <v>0</v>
      </c>
      <c r="AR729">
        <v>0</v>
      </c>
    </row>
    <row r="730" spans="1:44" x14ac:dyDescent="0.25">
      <c r="A730">
        <v>197</v>
      </c>
      <c r="B730" t="s">
        <v>234</v>
      </c>
      <c r="C730">
        <v>-37.732998049999999</v>
      </c>
      <c r="D730">
        <v>148.4061495</v>
      </c>
      <c r="G730">
        <v>0</v>
      </c>
      <c r="H730">
        <v>0</v>
      </c>
      <c r="I730">
        <v>0</v>
      </c>
      <c r="J730">
        <v>0</v>
      </c>
      <c r="K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250</v>
      </c>
      <c r="AE730">
        <v>0</v>
      </c>
      <c r="AF730">
        <v>0</v>
      </c>
      <c r="AG730">
        <v>0</v>
      </c>
      <c r="AK730">
        <v>0</v>
      </c>
      <c r="AO730">
        <v>0</v>
      </c>
      <c r="AQ730">
        <v>0</v>
      </c>
      <c r="AR730">
        <v>0</v>
      </c>
    </row>
    <row r="731" spans="1:44" x14ac:dyDescent="0.25">
      <c r="A731">
        <v>196</v>
      </c>
      <c r="B731" t="s">
        <v>722</v>
      </c>
      <c r="C731">
        <v>-37.746639989999998</v>
      </c>
      <c r="D731">
        <v>148.6458002</v>
      </c>
      <c r="G731">
        <v>0</v>
      </c>
      <c r="H731">
        <v>0</v>
      </c>
      <c r="I731">
        <v>0</v>
      </c>
      <c r="J731">
        <v>0</v>
      </c>
      <c r="K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K731">
        <v>0</v>
      </c>
      <c r="AO731">
        <v>0</v>
      </c>
      <c r="AQ731">
        <v>0</v>
      </c>
      <c r="AR731">
        <v>0</v>
      </c>
    </row>
    <row r="732" spans="1:44" x14ac:dyDescent="0.25">
      <c r="A732">
        <v>201</v>
      </c>
      <c r="B732" t="s">
        <v>72</v>
      </c>
      <c r="C732">
        <v>-37.794057270000003</v>
      </c>
      <c r="D732">
        <v>145.0169966</v>
      </c>
      <c r="E732">
        <v>17860</v>
      </c>
      <c r="F732">
        <v>18636</v>
      </c>
      <c r="G732">
        <v>21140</v>
      </c>
      <c r="H732">
        <v>15160</v>
      </c>
      <c r="I732">
        <v>26440</v>
      </c>
      <c r="J732">
        <v>34795</v>
      </c>
      <c r="K732">
        <v>16745</v>
      </c>
      <c r="L732">
        <v>12730</v>
      </c>
      <c r="M732">
        <v>13172</v>
      </c>
      <c r="N732">
        <v>15907</v>
      </c>
      <c r="O732">
        <v>9000</v>
      </c>
      <c r="P732">
        <v>9500</v>
      </c>
      <c r="Q732">
        <v>14791</v>
      </c>
      <c r="R732">
        <v>15500</v>
      </c>
      <c r="S732">
        <v>7050</v>
      </c>
      <c r="T732">
        <v>8184</v>
      </c>
      <c r="U732">
        <v>13800</v>
      </c>
      <c r="V732">
        <v>21000</v>
      </c>
      <c r="W732">
        <v>16000</v>
      </c>
      <c r="X732">
        <v>14900</v>
      </c>
      <c r="Y732">
        <v>15300</v>
      </c>
      <c r="Z732">
        <v>22500</v>
      </c>
      <c r="AA732">
        <v>10725</v>
      </c>
      <c r="AB732">
        <v>1950</v>
      </c>
      <c r="AC732">
        <v>5950</v>
      </c>
      <c r="AD732">
        <v>20100</v>
      </c>
      <c r="AE732">
        <v>7816</v>
      </c>
      <c r="AF732">
        <v>2900</v>
      </c>
      <c r="AG732">
        <v>9250</v>
      </c>
      <c r="AO732">
        <v>10350</v>
      </c>
      <c r="AP732">
        <v>54210</v>
      </c>
      <c r="AQ732">
        <v>0</v>
      </c>
      <c r="AR732">
        <v>550</v>
      </c>
    </row>
    <row r="733" spans="1:44" x14ac:dyDescent="0.25">
      <c r="A733">
        <v>198</v>
      </c>
      <c r="B733" t="s">
        <v>73</v>
      </c>
      <c r="C733">
        <v>-37.820202049999999</v>
      </c>
      <c r="D733">
        <v>147.62254799999999</v>
      </c>
      <c r="F733">
        <v>8500</v>
      </c>
      <c r="G733">
        <v>48</v>
      </c>
      <c r="H733">
        <v>0</v>
      </c>
      <c r="I733">
        <v>526</v>
      </c>
      <c r="J733">
        <v>1708</v>
      </c>
      <c r="K733">
        <v>60000</v>
      </c>
      <c r="O733">
        <v>6200</v>
      </c>
      <c r="P733">
        <v>5000</v>
      </c>
      <c r="Q733">
        <v>1340</v>
      </c>
      <c r="R733">
        <v>5000</v>
      </c>
      <c r="S733">
        <v>3160</v>
      </c>
      <c r="T733">
        <v>9300</v>
      </c>
      <c r="V733">
        <v>10000</v>
      </c>
      <c r="W733">
        <v>2700</v>
      </c>
      <c r="X733">
        <v>0</v>
      </c>
      <c r="Y733">
        <v>2600</v>
      </c>
      <c r="Z733">
        <v>13500</v>
      </c>
      <c r="AA733">
        <v>5300</v>
      </c>
      <c r="AB733">
        <v>430</v>
      </c>
      <c r="AC733">
        <v>1300</v>
      </c>
      <c r="AD733">
        <v>7000</v>
      </c>
      <c r="AE733">
        <v>2700</v>
      </c>
      <c r="AF733">
        <v>0</v>
      </c>
      <c r="AG733">
        <v>50</v>
      </c>
      <c r="AH733">
        <v>5700</v>
      </c>
      <c r="AK733">
        <v>25900</v>
      </c>
      <c r="AO733">
        <v>4030</v>
      </c>
      <c r="AP733">
        <v>7500</v>
      </c>
      <c r="AQ733">
        <v>3500</v>
      </c>
      <c r="AR733">
        <v>6800</v>
      </c>
    </row>
    <row r="734" spans="1:44" x14ac:dyDescent="0.25">
      <c r="A734">
        <v>871</v>
      </c>
      <c r="B734" t="s">
        <v>723</v>
      </c>
      <c r="C734">
        <v>-37.877378</v>
      </c>
      <c r="D734">
        <v>147.97743700000001</v>
      </c>
      <c r="S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K734">
        <v>0</v>
      </c>
      <c r="AO734">
        <v>0</v>
      </c>
      <c r="AQ734">
        <v>0</v>
      </c>
      <c r="AR734">
        <v>0</v>
      </c>
    </row>
    <row r="735" spans="1:44" x14ac:dyDescent="0.25">
      <c r="A735">
        <v>200</v>
      </c>
      <c r="B735" t="s">
        <v>724</v>
      </c>
      <c r="C735">
        <v>-37.907057539999997</v>
      </c>
      <c r="D735">
        <v>146.83406980000001</v>
      </c>
      <c r="G735">
        <v>0</v>
      </c>
      <c r="H735">
        <v>0</v>
      </c>
      <c r="I735">
        <v>0</v>
      </c>
      <c r="J735">
        <v>0</v>
      </c>
      <c r="K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K735">
        <v>0</v>
      </c>
      <c r="AO735">
        <v>0</v>
      </c>
      <c r="AQ735">
        <v>0</v>
      </c>
      <c r="AR735">
        <v>0</v>
      </c>
    </row>
    <row r="736" spans="1:44" x14ac:dyDescent="0.25">
      <c r="A736">
        <v>870</v>
      </c>
      <c r="B736" t="s">
        <v>235</v>
      </c>
      <c r="C736">
        <v>-37.931063819999999</v>
      </c>
      <c r="D736">
        <v>144.66995779999999</v>
      </c>
      <c r="S736">
        <v>0</v>
      </c>
      <c r="U736">
        <v>0</v>
      </c>
      <c r="V736">
        <v>900</v>
      </c>
      <c r="AD736">
        <v>1150</v>
      </c>
      <c r="AE736">
        <v>798</v>
      </c>
      <c r="AF736">
        <v>925</v>
      </c>
      <c r="AG736">
        <v>525</v>
      </c>
      <c r="AO736">
        <v>220</v>
      </c>
      <c r="AP736">
        <v>2055</v>
      </c>
      <c r="AQ736">
        <v>0</v>
      </c>
      <c r="AR736">
        <v>0</v>
      </c>
    </row>
    <row r="737" spans="1:46" x14ac:dyDescent="0.25">
      <c r="A737">
        <v>765</v>
      </c>
      <c r="B737" t="s">
        <v>236</v>
      </c>
      <c r="C737">
        <v>-37.965179999999997</v>
      </c>
      <c r="D737">
        <v>146.964</v>
      </c>
      <c r="Q737">
        <v>0</v>
      </c>
      <c r="R737">
        <v>1200</v>
      </c>
      <c r="S737">
        <v>0</v>
      </c>
      <c r="V737">
        <v>1600</v>
      </c>
      <c r="W737">
        <v>0</v>
      </c>
      <c r="X737">
        <v>0</v>
      </c>
      <c r="Y737">
        <v>0</v>
      </c>
      <c r="Z737">
        <v>0</v>
      </c>
      <c r="AA737">
        <v>1700</v>
      </c>
      <c r="AB737">
        <v>3400</v>
      </c>
      <c r="AC737">
        <v>0</v>
      </c>
      <c r="AD737">
        <v>1600</v>
      </c>
      <c r="AE737">
        <v>1200</v>
      </c>
      <c r="AF737">
        <v>0</v>
      </c>
      <c r="AG737">
        <v>0</v>
      </c>
      <c r="AH737">
        <v>1200</v>
      </c>
      <c r="AK737">
        <v>5300</v>
      </c>
      <c r="AO737">
        <v>100</v>
      </c>
      <c r="AQ737">
        <v>0</v>
      </c>
      <c r="AR737">
        <v>0</v>
      </c>
    </row>
    <row r="738" spans="1:46" x14ac:dyDescent="0.25">
      <c r="A738">
        <v>799</v>
      </c>
      <c r="B738" t="s">
        <v>74</v>
      </c>
      <c r="C738">
        <v>-37.977777779999997</v>
      </c>
      <c r="D738">
        <v>145.2358333</v>
      </c>
      <c r="K738">
        <v>3500</v>
      </c>
      <c r="L738">
        <v>3750</v>
      </c>
      <c r="M738">
        <v>5000</v>
      </c>
      <c r="O738">
        <v>1200</v>
      </c>
      <c r="P738">
        <v>1650</v>
      </c>
      <c r="Q738">
        <v>2000</v>
      </c>
      <c r="R738">
        <v>3000</v>
      </c>
      <c r="S738">
        <v>9000</v>
      </c>
      <c r="T738">
        <v>2900</v>
      </c>
      <c r="U738">
        <v>3450</v>
      </c>
      <c r="V738">
        <v>8500</v>
      </c>
      <c r="W738">
        <v>3000</v>
      </c>
      <c r="X738">
        <v>2500</v>
      </c>
      <c r="Y738">
        <v>4000</v>
      </c>
      <c r="Z738">
        <v>4650</v>
      </c>
      <c r="AA738">
        <v>4300</v>
      </c>
      <c r="AB738">
        <v>1150</v>
      </c>
      <c r="AC738">
        <v>2400</v>
      </c>
      <c r="AD738">
        <v>4200</v>
      </c>
      <c r="AE738">
        <v>3016</v>
      </c>
      <c r="AF738">
        <v>1325</v>
      </c>
      <c r="AG738">
        <v>1610</v>
      </c>
      <c r="AO738">
        <v>2300</v>
      </c>
      <c r="AP738">
        <v>13400</v>
      </c>
      <c r="AQ738">
        <v>550</v>
      </c>
      <c r="AR738">
        <v>300</v>
      </c>
    </row>
    <row r="739" spans="1:46" x14ac:dyDescent="0.25">
      <c r="A739">
        <v>1238</v>
      </c>
      <c r="B739" t="s">
        <v>827</v>
      </c>
      <c r="C739">
        <v>-38.020800000000001</v>
      </c>
      <c r="D739">
        <v>142.7106</v>
      </c>
      <c r="AP739">
        <v>835</v>
      </c>
    </row>
    <row r="740" spans="1:46" x14ac:dyDescent="0.25">
      <c r="A740">
        <v>199</v>
      </c>
      <c r="B740" t="s">
        <v>237</v>
      </c>
      <c r="C740">
        <v>-38.112196570000002</v>
      </c>
      <c r="D740">
        <v>147.0708783</v>
      </c>
      <c r="G740">
        <v>0</v>
      </c>
      <c r="H740">
        <v>0</v>
      </c>
      <c r="I740">
        <v>0</v>
      </c>
      <c r="J740">
        <v>0</v>
      </c>
      <c r="K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V740">
        <v>2000</v>
      </c>
      <c r="W740">
        <v>40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990</v>
      </c>
      <c r="AF740">
        <v>810</v>
      </c>
      <c r="AG740">
        <v>0</v>
      </c>
      <c r="AH740">
        <v>890</v>
      </c>
      <c r="AK740">
        <v>290</v>
      </c>
      <c r="AO740">
        <v>150</v>
      </c>
      <c r="AP740">
        <v>0</v>
      </c>
      <c r="AQ740">
        <v>0</v>
      </c>
      <c r="AR740">
        <v>0</v>
      </c>
    </row>
    <row r="741" spans="1:46" x14ac:dyDescent="0.25">
      <c r="A741">
        <v>204</v>
      </c>
      <c r="B741" t="s">
        <v>75</v>
      </c>
      <c r="C741">
        <v>-38.150039499999998</v>
      </c>
      <c r="D741">
        <v>144.37925390000001</v>
      </c>
      <c r="E741">
        <v>3975</v>
      </c>
      <c r="F741">
        <v>12220</v>
      </c>
      <c r="G741">
        <v>33000</v>
      </c>
      <c r="H741">
        <v>5300</v>
      </c>
      <c r="I741">
        <v>4400</v>
      </c>
      <c r="J741">
        <v>10960</v>
      </c>
      <c r="K741">
        <v>12500</v>
      </c>
      <c r="M741">
        <v>1750</v>
      </c>
      <c r="N741">
        <v>10980</v>
      </c>
      <c r="O741">
        <v>10000</v>
      </c>
      <c r="P741">
        <v>5800</v>
      </c>
      <c r="Q741">
        <v>5500</v>
      </c>
      <c r="R741">
        <v>21200</v>
      </c>
      <c r="S741">
        <v>220</v>
      </c>
      <c r="T741">
        <v>2000</v>
      </c>
      <c r="U741">
        <v>3200</v>
      </c>
      <c r="Y741">
        <v>8100</v>
      </c>
      <c r="Z741">
        <v>11500</v>
      </c>
      <c r="AA741">
        <v>9000</v>
      </c>
      <c r="AC741">
        <v>6000</v>
      </c>
      <c r="AD741">
        <v>22000</v>
      </c>
      <c r="AE741">
        <v>6700</v>
      </c>
      <c r="AG741">
        <v>3300</v>
      </c>
      <c r="AO741">
        <v>9650</v>
      </c>
      <c r="AP741">
        <v>13070</v>
      </c>
      <c r="AQ741">
        <v>7275</v>
      </c>
      <c r="AR741">
        <v>2080</v>
      </c>
    </row>
    <row r="742" spans="1:46" x14ac:dyDescent="0.25">
      <c r="A742">
        <v>1291</v>
      </c>
      <c r="B742" t="s">
        <v>840</v>
      </c>
      <c r="C742">
        <v>-38.150100000000002</v>
      </c>
      <c r="D742">
        <v>145.93180000000001</v>
      </c>
    </row>
    <row r="743" spans="1:46" x14ac:dyDescent="0.25">
      <c r="A743">
        <v>872</v>
      </c>
      <c r="B743" t="s">
        <v>238</v>
      </c>
      <c r="C743">
        <v>-38.195461999999999</v>
      </c>
      <c r="D743">
        <v>146.54433700000001</v>
      </c>
      <c r="S743">
        <v>0</v>
      </c>
      <c r="V743">
        <v>3000</v>
      </c>
      <c r="W743">
        <v>220</v>
      </c>
      <c r="X743">
        <v>0</v>
      </c>
      <c r="Y743">
        <v>0</v>
      </c>
      <c r="Z743">
        <v>0</v>
      </c>
      <c r="AB743">
        <v>0</v>
      </c>
      <c r="AC743">
        <v>0</v>
      </c>
      <c r="AD743">
        <v>0</v>
      </c>
      <c r="AE743">
        <v>25</v>
      </c>
      <c r="AF743">
        <v>0</v>
      </c>
      <c r="AG743">
        <v>450</v>
      </c>
      <c r="AH743">
        <v>0</v>
      </c>
      <c r="AK743">
        <v>0</v>
      </c>
      <c r="AO743">
        <v>0</v>
      </c>
      <c r="AQ743">
        <v>0</v>
      </c>
      <c r="AR743">
        <v>0</v>
      </c>
    </row>
    <row r="744" spans="1:46" x14ac:dyDescent="0.25">
      <c r="A744">
        <v>1044</v>
      </c>
      <c r="B744" t="s">
        <v>828</v>
      </c>
      <c r="C744">
        <v>-38.332500000000003</v>
      </c>
      <c r="D744">
        <v>143.59229999999999</v>
      </c>
      <c r="AH744">
        <v>7450</v>
      </c>
      <c r="AP744">
        <v>2000</v>
      </c>
    </row>
    <row r="745" spans="1:46" x14ac:dyDescent="0.25">
      <c r="A745">
        <v>801</v>
      </c>
      <c r="B745" t="s">
        <v>420</v>
      </c>
      <c r="C745">
        <v>-38.367222220000002</v>
      </c>
      <c r="D745">
        <v>145.1911111</v>
      </c>
      <c r="K745">
        <v>650</v>
      </c>
      <c r="O745">
        <v>0</v>
      </c>
      <c r="P745">
        <v>0</v>
      </c>
    </row>
    <row r="746" spans="1:46" x14ac:dyDescent="0.25">
      <c r="A746">
        <v>202</v>
      </c>
      <c r="B746" t="s">
        <v>239</v>
      </c>
      <c r="C746">
        <v>-38.373897049999997</v>
      </c>
      <c r="D746">
        <v>142.48492769999999</v>
      </c>
      <c r="G746">
        <v>600</v>
      </c>
      <c r="H746">
        <v>200</v>
      </c>
      <c r="I746">
        <v>0</v>
      </c>
      <c r="K746">
        <v>0</v>
      </c>
      <c r="L746">
        <v>0</v>
      </c>
      <c r="P746">
        <v>225</v>
      </c>
      <c r="Q746">
        <v>650</v>
      </c>
      <c r="R746">
        <v>2100</v>
      </c>
      <c r="S746">
        <v>0</v>
      </c>
      <c r="U746">
        <v>365</v>
      </c>
      <c r="Y746">
        <v>0</v>
      </c>
      <c r="Z746">
        <v>1040</v>
      </c>
      <c r="AA746">
        <v>1400</v>
      </c>
      <c r="AB746">
        <v>655</v>
      </c>
      <c r="AC746">
        <v>270</v>
      </c>
      <c r="AD746">
        <v>866</v>
      </c>
      <c r="AE746">
        <v>806</v>
      </c>
      <c r="AF746">
        <v>215</v>
      </c>
      <c r="AG746">
        <v>50</v>
      </c>
      <c r="AH746">
        <v>1930</v>
      </c>
      <c r="AK746">
        <v>8200</v>
      </c>
      <c r="AP746">
        <v>2309</v>
      </c>
    </row>
    <row r="747" spans="1:46" x14ac:dyDescent="0.25">
      <c r="A747">
        <v>1289</v>
      </c>
      <c r="B747" t="s">
        <v>841</v>
      </c>
      <c r="C747">
        <v>-38.482599999999998</v>
      </c>
      <c r="D747">
        <v>145.94130000000001</v>
      </c>
      <c r="AR747">
        <v>0</v>
      </c>
    </row>
    <row r="748" spans="1:46" x14ac:dyDescent="0.25">
      <c r="A748">
        <v>904</v>
      </c>
      <c r="B748" t="s">
        <v>240</v>
      </c>
      <c r="C748">
        <v>-38.524799999999999</v>
      </c>
      <c r="D748">
        <v>146.87209999999999</v>
      </c>
      <c r="V748">
        <v>5000</v>
      </c>
      <c r="W748">
        <v>0</v>
      </c>
      <c r="X748">
        <v>0</v>
      </c>
      <c r="Y748">
        <v>0</v>
      </c>
      <c r="Z748">
        <v>5300</v>
      </c>
      <c r="AA748">
        <v>0</v>
      </c>
      <c r="AB748">
        <v>0</v>
      </c>
      <c r="AC748">
        <v>3565</v>
      </c>
      <c r="AD748">
        <v>0</v>
      </c>
      <c r="AE748">
        <v>0</v>
      </c>
      <c r="AF748">
        <v>0</v>
      </c>
      <c r="AG748">
        <v>0</v>
      </c>
      <c r="AK748">
        <v>0</v>
      </c>
      <c r="AO748">
        <v>0</v>
      </c>
      <c r="AQ748">
        <v>0</v>
      </c>
      <c r="AR748">
        <v>0</v>
      </c>
    </row>
    <row r="749" spans="1:46" x14ac:dyDescent="0.25">
      <c r="A749">
        <v>269</v>
      </c>
      <c r="B749" t="s">
        <v>421</v>
      </c>
      <c r="C749">
        <v>-38.726275110000003</v>
      </c>
      <c r="D749">
        <v>143.2473689</v>
      </c>
      <c r="N749">
        <v>780</v>
      </c>
    </row>
    <row r="751" spans="1:46" x14ac:dyDescent="0.25">
      <c r="A751" t="s">
        <v>725</v>
      </c>
      <c r="E751">
        <v>694825</v>
      </c>
      <c r="F751">
        <v>601468</v>
      </c>
      <c r="G751">
        <v>542496</v>
      </c>
      <c r="H751">
        <v>334280</v>
      </c>
      <c r="I751">
        <v>376155</v>
      </c>
      <c r="J751">
        <v>665100</v>
      </c>
      <c r="K751">
        <v>569610</v>
      </c>
      <c r="L751">
        <v>365380</v>
      </c>
      <c r="M751">
        <v>527136</v>
      </c>
      <c r="N751">
        <v>992285</v>
      </c>
      <c r="O751">
        <v>437782</v>
      </c>
      <c r="P751">
        <v>726981</v>
      </c>
      <c r="Q751">
        <v>656442</v>
      </c>
      <c r="R751">
        <v>977653</v>
      </c>
      <c r="S751">
        <v>663911</v>
      </c>
      <c r="T751">
        <v>580509</v>
      </c>
      <c r="U751">
        <v>453327</v>
      </c>
      <c r="V751">
        <v>503828</v>
      </c>
      <c r="W751">
        <v>661997</v>
      </c>
      <c r="X751">
        <v>469766</v>
      </c>
      <c r="Y751">
        <v>509697</v>
      </c>
      <c r="Z751">
        <v>659341</v>
      </c>
      <c r="AA751">
        <v>613466</v>
      </c>
      <c r="AB751">
        <v>681576</v>
      </c>
      <c r="AC751">
        <v>778388</v>
      </c>
      <c r="AD751">
        <v>670036</v>
      </c>
      <c r="AE751">
        <v>642278</v>
      </c>
      <c r="AF751">
        <v>471480</v>
      </c>
      <c r="AG751">
        <v>467520</v>
      </c>
      <c r="AH751">
        <v>456589</v>
      </c>
      <c r="AJ751" s="10"/>
      <c r="AK751" s="10">
        <v>589531</v>
      </c>
      <c r="AL751" s="10"/>
      <c r="AM751" s="10"/>
      <c r="AN751" s="11"/>
      <c r="AO751" s="10">
        <v>477535</v>
      </c>
      <c r="AP751">
        <v>844782</v>
      </c>
      <c r="AQ751">
        <v>571484</v>
      </c>
      <c r="AR751">
        <v>629026</v>
      </c>
      <c r="AS751" t="e">
        <f>#REF!-#REF!</f>
        <v>#REF!</v>
      </c>
      <c r="AT751" t="e">
        <f>SUM(AS751:AS751)</f>
        <v>#REF!</v>
      </c>
    </row>
  </sheetData>
  <sortState xmlns:xlrd2="http://schemas.microsoft.com/office/spreadsheetml/2017/richdata2" ref="A2:AR749">
    <sortCondition descending="1" ref="C2:C749"/>
  </sortState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0059-225E-4C63-B165-D2B160A83558}">
  <dimension ref="A1:G394"/>
  <sheetViews>
    <sheetView workbookViewId="0">
      <pane xSplit="3" ySplit="1" topLeftCell="D305" activePane="bottomRight" state="frozen"/>
      <selection pane="topRight" activeCell="D1" sqref="D1"/>
      <selection pane="bottomLeft" activeCell="A2" sqref="A2"/>
      <selection pane="bottomRight" activeCell="D394" sqref="D394"/>
    </sheetView>
  </sheetViews>
  <sheetFormatPr defaultRowHeight="12.75" customHeight="1" x14ac:dyDescent="0.25"/>
  <cols>
    <col min="2" max="2" width="49.42578125" customWidth="1"/>
    <col min="4" max="7" width="17.85546875" style="2" customWidth="1"/>
  </cols>
  <sheetData>
    <row r="1" spans="1:7" ht="12.75" customHeight="1" x14ac:dyDescent="0.25">
      <c r="A1" s="6" t="s">
        <v>0</v>
      </c>
      <c r="B1" s="6" t="s">
        <v>1</v>
      </c>
      <c r="C1" s="6" t="s">
        <v>2</v>
      </c>
      <c r="D1" s="7" t="s">
        <v>876</v>
      </c>
      <c r="E1" s="7" t="s">
        <v>878</v>
      </c>
      <c r="F1" s="7" t="s">
        <v>879</v>
      </c>
      <c r="G1" s="7" t="s">
        <v>880</v>
      </c>
    </row>
    <row r="2" spans="1:7" ht="12.75" customHeight="1" x14ac:dyDescent="0.25">
      <c r="A2" s="8">
        <v>3</v>
      </c>
      <c r="B2" s="9" t="s">
        <v>418</v>
      </c>
      <c r="C2" s="9" t="s">
        <v>22</v>
      </c>
      <c r="D2" s="5">
        <v>0</v>
      </c>
      <c r="E2" s="4"/>
      <c r="F2" s="4"/>
      <c r="G2" s="4"/>
    </row>
    <row r="3" spans="1:7" ht="12.75" customHeight="1" x14ac:dyDescent="0.25">
      <c r="A3" s="8">
        <v>5</v>
      </c>
      <c r="B3" s="9" t="s">
        <v>26</v>
      </c>
      <c r="C3" s="9" t="s">
        <v>22</v>
      </c>
      <c r="D3" s="4"/>
      <c r="E3" s="4"/>
      <c r="F3" s="5">
        <v>0</v>
      </c>
      <c r="G3" s="4"/>
    </row>
    <row r="4" spans="1:7" ht="12.75" customHeight="1" x14ac:dyDescent="0.25">
      <c r="A4" s="8">
        <v>7</v>
      </c>
      <c r="B4" s="9" t="s">
        <v>173</v>
      </c>
      <c r="C4" s="9" t="s">
        <v>22</v>
      </c>
      <c r="D4" s="4"/>
      <c r="E4" s="5">
        <v>0</v>
      </c>
      <c r="F4" s="4"/>
      <c r="G4" s="4"/>
    </row>
    <row r="5" spans="1:7" ht="12.75" customHeight="1" x14ac:dyDescent="0.25">
      <c r="A5" s="8">
        <v>10</v>
      </c>
      <c r="B5" s="9" t="s">
        <v>31</v>
      </c>
      <c r="C5" s="9" t="s">
        <v>22</v>
      </c>
      <c r="D5" s="4"/>
      <c r="E5" s="5">
        <v>11480</v>
      </c>
      <c r="F5" s="4"/>
      <c r="G5" s="4"/>
    </row>
    <row r="6" spans="1:7" ht="12.75" customHeight="1" x14ac:dyDescent="0.25">
      <c r="A6" s="8">
        <v>20</v>
      </c>
      <c r="B6" s="9" t="s">
        <v>391</v>
      </c>
      <c r="C6" s="9" t="s">
        <v>22</v>
      </c>
      <c r="D6" s="4"/>
      <c r="E6" s="4"/>
      <c r="F6" s="5">
        <v>0</v>
      </c>
      <c r="G6" s="4"/>
    </row>
    <row r="7" spans="1:7" ht="12.75" customHeight="1" x14ac:dyDescent="0.25">
      <c r="A7" s="8">
        <v>25</v>
      </c>
      <c r="B7" s="9" t="s">
        <v>205</v>
      </c>
      <c r="C7" s="9" t="s">
        <v>22</v>
      </c>
      <c r="D7" s="5">
        <v>0</v>
      </c>
      <c r="E7" s="4"/>
      <c r="F7" s="4"/>
      <c r="G7" s="4"/>
    </row>
    <row r="8" spans="1:7" ht="12.75" customHeight="1" x14ac:dyDescent="0.25">
      <c r="A8" s="8">
        <v>29</v>
      </c>
      <c r="B8" s="9" t="s">
        <v>169</v>
      </c>
      <c r="C8" s="9" t="s">
        <v>22</v>
      </c>
      <c r="D8" s="5">
        <v>0</v>
      </c>
      <c r="E8" s="5">
        <v>500</v>
      </c>
      <c r="F8" s="4"/>
      <c r="G8" s="4"/>
    </row>
    <row r="9" spans="1:7" ht="12.75" customHeight="1" x14ac:dyDescent="0.25">
      <c r="A9" s="8">
        <v>45</v>
      </c>
      <c r="B9" s="9" t="s">
        <v>54</v>
      </c>
      <c r="C9" s="9" t="s">
        <v>22</v>
      </c>
      <c r="D9" s="4"/>
      <c r="E9" s="5">
        <v>844</v>
      </c>
      <c r="F9" s="4"/>
      <c r="G9" s="4"/>
    </row>
    <row r="10" spans="1:7" ht="12.75" customHeight="1" x14ac:dyDescent="0.25">
      <c r="A10" s="8">
        <v>51</v>
      </c>
      <c r="B10" s="9" t="s">
        <v>226</v>
      </c>
      <c r="C10" s="9" t="s">
        <v>22</v>
      </c>
      <c r="D10" s="4"/>
      <c r="E10" s="5">
        <v>0</v>
      </c>
      <c r="F10" s="4"/>
      <c r="G10" s="4"/>
    </row>
    <row r="11" spans="1:7" ht="12.75" customHeight="1" x14ac:dyDescent="0.25">
      <c r="A11" s="8">
        <v>53</v>
      </c>
      <c r="B11" s="9" t="s">
        <v>151</v>
      </c>
      <c r="C11" s="9" t="s">
        <v>22</v>
      </c>
      <c r="D11" s="4"/>
      <c r="E11" s="5">
        <v>6400</v>
      </c>
      <c r="F11" s="4"/>
      <c r="G11" s="4"/>
    </row>
    <row r="12" spans="1:7" ht="12.75" customHeight="1" x14ac:dyDescent="0.25">
      <c r="A12" s="8">
        <v>55</v>
      </c>
      <c r="B12" s="9" t="s">
        <v>162</v>
      </c>
      <c r="C12" s="9" t="s">
        <v>22</v>
      </c>
      <c r="D12" s="4"/>
      <c r="E12" s="5">
        <v>0</v>
      </c>
      <c r="F12" s="5">
        <v>200</v>
      </c>
      <c r="G12" s="4"/>
    </row>
    <row r="13" spans="1:7" ht="12.75" customHeight="1" x14ac:dyDescent="0.25">
      <c r="A13" s="8">
        <v>56</v>
      </c>
      <c r="B13" s="9" t="s">
        <v>27</v>
      </c>
      <c r="C13" s="9" t="s">
        <v>22</v>
      </c>
      <c r="D13" s="4"/>
      <c r="E13" s="5">
        <v>3401</v>
      </c>
      <c r="F13" s="5">
        <v>10539</v>
      </c>
      <c r="G13" s="4"/>
    </row>
    <row r="14" spans="1:7" ht="12.75" customHeight="1" x14ac:dyDescent="0.25">
      <c r="A14" s="8">
        <v>64</v>
      </c>
      <c r="B14" s="9" t="s">
        <v>639</v>
      </c>
      <c r="C14" s="9" t="s">
        <v>22</v>
      </c>
      <c r="D14" s="4"/>
      <c r="E14" s="5">
        <v>0</v>
      </c>
      <c r="F14" s="4"/>
      <c r="G14" s="4"/>
    </row>
    <row r="15" spans="1:7" ht="12.75" customHeight="1" x14ac:dyDescent="0.25">
      <c r="A15" s="8">
        <v>66</v>
      </c>
      <c r="B15" s="9" t="s">
        <v>21</v>
      </c>
      <c r="C15" s="9" t="s">
        <v>22</v>
      </c>
      <c r="D15" s="4"/>
      <c r="E15" s="5">
        <v>8800</v>
      </c>
      <c r="F15" s="4"/>
      <c r="G15" s="4"/>
    </row>
    <row r="16" spans="1:7" ht="12.75" customHeight="1" x14ac:dyDescent="0.25">
      <c r="A16" s="8">
        <v>107</v>
      </c>
      <c r="B16" s="9" t="s">
        <v>182</v>
      </c>
      <c r="C16" s="9" t="s">
        <v>22</v>
      </c>
      <c r="D16" s="5">
        <v>0</v>
      </c>
      <c r="E16" s="4"/>
      <c r="F16" s="4"/>
      <c r="G16" s="4"/>
    </row>
    <row r="17" spans="1:7" ht="12.75" customHeight="1" x14ac:dyDescent="0.25">
      <c r="A17" s="8">
        <v>111</v>
      </c>
      <c r="B17" s="9" t="s">
        <v>145</v>
      </c>
      <c r="C17" s="9" t="s">
        <v>22</v>
      </c>
      <c r="D17" s="5">
        <v>197</v>
      </c>
      <c r="E17" s="5">
        <v>4200</v>
      </c>
      <c r="F17" s="4"/>
      <c r="G17" s="4"/>
    </row>
    <row r="18" spans="1:7" ht="12.75" customHeight="1" x14ac:dyDescent="0.25">
      <c r="A18" s="8">
        <v>115</v>
      </c>
      <c r="B18" s="9" t="s">
        <v>38</v>
      </c>
      <c r="C18" s="9" t="s">
        <v>22</v>
      </c>
      <c r="D18" s="4"/>
      <c r="E18" s="5">
        <v>9743</v>
      </c>
      <c r="F18" s="4"/>
      <c r="G18" s="4"/>
    </row>
    <row r="19" spans="1:7" ht="12.75" customHeight="1" x14ac:dyDescent="0.25">
      <c r="A19" s="8">
        <v>118</v>
      </c>
      <c r="B19" s="9" t="s">
        <v>136</v>
      </c>
      <c r="C19" s="9" t="s">
        <v>22</v>
      </c>
      <c r="D19" s="5">
        <v>175</v>
      </c>
      <c r="E19" s="5">
        <v>15</v>
      </c>
      <c r="F19" s="4"/>
      <c r="G19" s="4"/>
    </row>
    <row r="20" spans="1:7" ht="12.75" customHeight="1" x14ac:dyDescent="0.25">
      <c r="A20" s="8">
        <v>121</v>
      </c>
      <c r="B20" s="9" t="s">
        <v>378</v>
      </c>
      <c r="C20" s="9" t="s">
        <v>22</v>
      </c>
      <c r="D20" s="4"/>
      <c r="E20" s="4"/>
      <c r="F20" s="5">
        <v>0</v>
      </c>
      <c r="G20" s="4"/>
    </row>
    <row r="21" spans="1:7" ht="12.75" customHeight="1" x14ac:dyDescent="0.25">
      <c r="A21" s="8">
        <v>126</v>
      </c>
      <c r="B21" s="9" t="s">
        <v>390</v>
      </c>
      <c r="C21" s="9" t="s">
        <v>22</v>
      </c>
      <c r="D21" s="4"/>
      <c r="E21" s="4"/>
      <c r="F21" s="5">
        <v>0</v>
      </c>
      <c r="G21" s="4"/>
    </row>
    <row r="22" spans="1:7" ht="12.75" customHeight="1" x14ac:dyDescent="0.25">
      <c r="A22" s="8">
        <v>127</v>
      </c>
      <c r="B22" s="9" t="s">
        <v>30</v>
      </c>
      <c r="C22" s="9" t="s">
        <v>22</v>
      </c>
      <c r="D22" s="5">
        <v>636</v>
      </c>
      <c r="E22" s="5">
        <v>9590</v>
      </c>
      <c r="F22" s="5">
        <v>678</v>
      </c>
      <c r="G22" s="4"/>
    </row>
    <row r="23" spans="1:7" ht="12.75" customHeight="1" x14ac:dyDescent="0.25">
      <c r="A23" s="8">
        <v>128</v>
      </c>
      <c r="B23" s="9" t="s">
        <v>380</v>
      </c>
      <c r="C23" s="9" t="s">
        <v>22</v>
      </c>
      <c r="D23" s="4"/>
      <c r="E23" s="5">
        <v>0</v>
      </c>
      <c r="F23" s="5">
        <v>0</v>
      </c>
      <c r="G23" s="4"/>
    </row>
    <row r="24" spans="1:7" ht="12.75" customHeight="1" x14ac:dyDescent="0.25">
      <c r="A24" s="8">
        <v>130</v>
      </c>
      <c r="B24" s="9" t="s">
        <v>144</v>
      </c>
      <c r="C24" s="9" t="s">
        <v>22</v>
      </c>
      <c r="D24" s="5">
        <v>784</v>
      </c>
      <c r="E24" s="5">
        <v>453</v>
      </c>
      <c r="F24" s="4"/>
      <c r="G24" s="4"/>
    </row>
    <row r="25" spans="1:7" ht="12.75" customHeight="1" x14ac:dyDescent="0.25">
      <c r="A25" s="8">
        <v>132</v>
      </c>
      <c r="B25" s="9" t="s">
        <v>44</v>
      </c>
      <c r="C25" s="9" t="s">
        <v>22</v>
      </c>
      <c r="D25" s="5">
        <v>0</v>
      </c>
      <c r="E25" s="4"/>
      <c r="F25" s="4"/>
      <c r="G25" s="4"/>
    </row>
    <row r="26" spans="1:7" ht="12.75" customHeight="1" x14ac:dyDescent="0.25">
      <c r="A26" s="8">
        <v>133</v>
      </c>
      <c r="B26" s="9" t="s">
        <v>138</v>
      </c>
      <c r="C26" s="9" t="s">
        <v>22</v>
      </c>
      <c r="D26" s="5">
        <v>0</v>
      </c>
      <c r="E26" s="4"/>
      <c r="F26" s="4"/>
      <c r="G26" s="4"/>
    </row>
    <row r="27" spans="1:7" ht="12.75" customHeight="1" x14ac:dyDescent="0.25">
      <c r="A27" s="8">
        <v>134</v>
      </c>
      <c r="B27" s="9" t="s">
        <v>56</v>
      </c>
      <c r="C27" s="9" t="s">
        <v>22</v>
      </c>
      <c r="D27" s="5">
        <v>7200</v>
      </c>
      <c r="E27" s="5">
        <v>8690</v>
      </c>
      <c r="F27" s="4"/>
      <c r="G27" s="4"/>
    </row>
    <row r="28" spans="1:7" ht="12.75" customHeight="1" x14ac:dyDescent="0.25">
      <c r="A28" s="8">
        <v>138</v>
      </c>
      <c r="B28" s="9" t="s">
        <v>120</v>
      </c>
      <c r="C28" s="9" t="s">
        <v>6</v>
      </c>
      <c r="D28" s="5">
        <v>0</v>
      </c>
      <c r="E28" s="4"/>
      <c r="F28" s="4"/>
      <c r="G28" s="5">
        <v>0</v>
      </c>
    </row>
    <row r="29" spans="1:7" ht="12.75" customHeight="1" x14ac:dyDescent="0.25">
      <c r="A29" s="8">
        <v>140</v>
      </c>
      <c r="B29" s="9" t="s">
        <v>116</v>
      </c>
      <c r="C29" s="9" t="s">
        <v>6</v>
      </c>
      <c r="D29" s="5">
        <v>0</v>
      </c>
      <c r="E29" s="4"/>
      <c r="F29" s="4"/>
      <c r="G29" s="4"/>
    </row>
    <row r="30" spans="1:7" ht="12.75" customHeight="1" x14ac:dyDescent="0.25">
      <c r="A30" s="8">
        <v>141</v>
      </c>
      <c r="B30" s="9" t="s">
        <v>19</v>
      </c>
      <c r="C30" s="9" t="s">
        <v>6</v>
      </c>
      <c r="D30" s="5">
        <v>0</v>
      </c>
      <c r="E30" s="4"/>
      <c r="F30" s="4"/>
      <c r="G30" s="5">
        <v>0</v>
      </c>
    </row>
    <row r="31" spans="1:7" ht="12.75" customHeight="1" x14ac:dyDescent="0.25">
      <c r="A31" s="8">
        <v>143</v>
      </c>
      <c r="B31" s="9" t="s">
        <v>109</v>
      </c>
      <c r="C31" s="9" t="s">
        <v>6</v>
      </c>
      <c r="D31" s="5">
        <v>2400</v>
      </c>
      <c r="E31" s="5">
        <v>1000</v>
      </c>
      <c r="F31" s="4"/>
      <c r="G31" s="5">
        <v>24000</v>
      </c>
    </row>
    <row r="32" spans="1:7" ht="12.75" customHeight="1" x14ac:dyDescent="0.25">
      <c r="A32" s="8">
        <v>145</v>
      </c>
      <c r="B32" s="9" t="s">
        <v>530</v>
      </c>
      <c r="C32" s="9" t="s">
        <v>6</v>
      </c>
      <c r="D32" s="4"/>
      <c r="E32" s="4"/>
      <c r="F32" s="4"/>
      <c r="G32" s="5">
        <v>0</v>
      </c>
    </row>
    <row r="33" spans="1:7" ht="12.75" customHeight="1" x14ac:dyDescent="0.25">
      <c r="A33" s="8">
        <v>147</v>
      </c>
      <c r="B33" s="9" t="s">
        <v>347</v>
      </c>
      <c r="C33" s="9" t="s">
        <v>6</v>
      </c>
      <c r="D33" s="5">
        <v>0</v>
      </c>
      <c r="E33" s="4"/>
      <c r="F33" s="4"/>
      <c r="G33" s="5">
        <v>0</v>
      </c>
    </row>
    <row r="34" spans="1:7" ht="12.75" customHeight="1" x14ac:dyDescent="0.25">
      <c r="A34" s="8">
        <v>148</v>
      </c>
      <c r="B34" s="9" t="s">
        <v>123</v>
      </c>
      <c r="C34" s="9" t="s">
        <v>6</v>
      </c>
      <c r="D34" s="5">
        <v>4500</v>
      </c>
      <c r="E34" s="4"/>
      <c r="F34" s="4"/>
      <c r="G34" s="4"/>
    </row>
    <row r="35" spans="1:7" ht="12.75" customHeight="1" x14ac:dyDescent="0.25">
      <c r="A35" s="8">
        <v>151</v>
      </c>
      <c r="B35" s="9" t="s">
        <v>100</v>
      </c>
      <c r="C35" s="9" t="s">
        <v>6</v>
      </c>
      <c r="D35" s="4"/>
      <c r="E35" s="4"/>
      <c r="F35" s="4"/>
      <c r="G35" s="5">
        <v>0</v>
      </c>
    </row>
    <row r="36" spans="1:7" ht="12.75" customHeight="1" x14ac:dyDescent="0.25">
      <c r="A36" s="8">
        <v>152</v>
      </c>
      <c r="B36" s="9" t="s">
        <v>292</v>
      </c>
      <c r="C36" s="9" t="s">
        <v>6</v>
      </c>
      <c r="D36" s="5">
        <v>0</v>
      </c>
      <c r="E36" s="5">
        <v>160</v>
      </c>
      <c r="F36" s="4"/>
      <c r="G36" s="5">
        <v>0</v>
      </c>
    </row>
    <row r="37" spans="1:7" ht="12.75" customHeight="1" x14ac:dyDescent="0.25">
      <c r="A37" s="8">
        <v>153</v>
      </c>
      <c r="B37" s="9" t="s">
        <v>106</v>
      </c>
      <c r="C37" s="9" t="s">
        <v>6</v>
      </c>
      <c r="D37" s="4"/>
      <c r="E37" s="4"/>
      <c r="F37" s="5">
        <v>2200</v>
      </c>
      <c r="G37" s="5">
        <v>0</v>
      </c>
    </row>
    <row r="38" spans="1:7" ht="12.75" customHeight="1" x14ac:dyDescent="0.25">
      <c r="A38" s="8">
        <v>155</v>
      </c>
      <c r="B38" s="9" t="s">
        <v>314</v>
      </c>
      <c r="C38" s="9" t="s">
        <v>6</v>
      </c>
      <c r="D38" s="4"/>
      <c r="E38" s="4"/>
      <c r="F38" s="4"/>
      <c r="G38" s="5">
        <v>0</v>
      </c>
    </row>
    <row r="39" spans="1:7" ht="12.75" customHeight="1" x14ac:dyDescent="0.25">
      <c r="A39" s="8">
        <v>156</v>
      </c>
      <c r="B39" s="9" t="s">
        <v>99</v>
      </c>
      <c r="C39" s="9" t="s">
        <v>6</v>
      </c>
      <c r="D39" s="5">
        <v>1200</v>
      </c>
      <c r="E39" s="5">
        <v>130</v>
      </c>
      <c r="F39" s="4"/>
      <c r="G39" s="4"/>
    </row>
    <row r="40" spans="1:7" ht="12.75" customHeight="1" x14ac:dyDescent="0.25">
      <c r="A40" s="8">
        <v>159</v>
      </c>
      <c r="B40" s="9" t="s">
        <v>104</v>
      </c>
      <c r="C40" s="9" t="s">
        <v>6</v>
      </c>
      <c r="D40" s="5">
        <v>2000</v>
      </c>
      <c r="E40" s="5">
        <v>1200</v>
      </c>
      <c r="F40" s="4"/>
      <c r="G40" s="5">
        <v>150</v>
      </c>
    </row>
    <row r="41" spans="1:7" ht="12.75" customHeight="1" x14ac:dyDescent="0.25">
      <c r="A41" s="8">
        <v>163</v>
      </c>
      <c r="B41" s="9" t="s">
        <v>305</v>
      </c>
      <c r="C41" s="9" t="s">
        <v>6</v>
      </c>
      <c r="D41" s="4"/>
      <c r="E41" s="4"/>
      <c r="F41" s="4"/>
      <c r="G41" s="5">
        <v>0</v>
      </c>
    </row>
    <row r="42" spans="1:7" ht="12.75" customHeight="1" x14ac:dyDescent="0.25">
      <c r="A42" s="8">
        <v>164</v>
      </c>
      <c r="B42" s="9" t="s">
        <v>13</v>
      </c>
      <c r="C42" s="9" t="s">
        <v>6</v>
      </c>
      <c r="D42" s="5">
        <v>22027</v>
      </c>
      <c r="E42" s="4"/>
      <c r="F42" s="4"/>
      <c r="G42" s="5">
        <v>0</v>
      </c>
    </row>
    <row r="43" spans="1:7" ht="12.75" customHeight="1" x14ac:dyDescent="0.25">
      <c r="A43" s="8">
        <v>170</v>
      </c>
      <c r="B43" s="9" t="s">
        <v>125</v>
      </c>
      <c r="C43" s="9" t="s">
        <v>6</v>
      </c>
      <c r="D43" s="5">
        <v>0</v>
      </c>
      <c r="E43" s="4"/>
      <c r="F43" s="4"/>
      <c r="G43" s="4"/>
    </row>
    <row r="44" spans="1:7" ht="12.75" customHeight="1" x14ac:dyDescent="0.25">
      <c r="A44" s="8">
        <v>173</v>
      </c>
      <c r="B44" s="9" t="s">
        <v>510</v>
      </c>
      <c r="C44" s="9" t="s">
        <v>6</v>
      </c>
      <c r="D44" s="4"/>
      <c r="E44" s="5">
        <v>10</v>
      </c>
      <c r="F44" s="4"/>
      <c r="G44" s="4"/>
    </row>
    <row r="45" spans="1:7" ht="12.75" customHeight="1" x14ac:dyDescent="0.25">
      <c r="A45" s="8">
        <v>179</v>
      </c>
      <c r="B45" s="9" t="s">
        <v>296</v>
      </c>
      <c r="C45" s="9" t="s">
        <v>6</v>
      </c>
      <c r="D45" s="5">
        <v>0</v>
      </c>
      <c r="E45" s="4"/>
      <c r="F45" s="4"/>
      <c r="G45" s="5">
        <v>0</v>
      </c>
    </row>
    <row r="46" spans="1:7" ht="12.75" customHeight="1" x14ac:dyDescent="0.25">
      <c r="A46" s="8">
        <v>180</v>
      </c>
      <c r="B46" s="9" t="s">
        <v>288</v>
      </c>
      <c r="C46" s="9" t="s">
        <v>6</v>
      </c>
      <c r="D46" s="5">
        <v>0</v>
      </c>
      <c r="E46" s="5">
        <v>70</v>
      </c>
      <c r="F46" s="4"/>
      <c r="G46" s="5">
        <v>0</v>
      </c>
    </row>
    <row r="47" spans="1:7" ht="12.75" customHeight="1" x14ac:dyDescent="0.25">
      <c r="A47" s="8">
        <v>183</v>
      </c>
      <c r="B47" s="9" t="s">
        <v>284</v>
      </c>
      <c r="C47" s="9" t="s">
        <v>6</v>
      </c>
      <c r="D47" s="5">
        <v>0</v>
      </c>
      <c r="E47" s="4"/>
      <c r="F47" s="4"/>
      <c r="G47" s="4"/>
    </row>
    <row r="48" spans="1:7" ht="12.75" customHeight="1" x14ac:dyDescent="0.25">
      <c r="A48" s="8">
        <v>185</v>
      </c>
      <c r="B48" s="9" t="s">
        <v>302</v>
      </c>
      <c r="C48" s="9" t="s">
        <v>6</v>
      </c>
      <c r="D48" s="4"/>
      <c r="E48" s="4"/>
      <c r="F48" s="4"/>
      <c r="G48" s="5">
        <v>0</v>
      </c>
    </row>
    <row r="49" spans="1:7" ht="12.75" customHeight="1" x14ac:dyDescent="0.25">
      <c r="A49" s="8">
        <v>186</v>
      </c>
      <c r="B49" s="9" t="s">
        <v>15</v>
      </c>
      <c r="C49" s="9" t="s">
        <v>6</v>
      </c>
      <c r="D49" s="5">
        <v>4800</v>
      </c>
      <c r="E49" s="5">
        <v>1240</v>
      </c>
      <c r="F49" s="5">
        <v>1780</v>
      </c>
      <c r="G49" s="5">
        <v>0</v>
      </c>
    </row>
    <row r="50" spans="1:7" ht="12.75" customHeight="1" x14ac:dyDescent="0.25">
      <c r="A50" s="8">
        <v>187</v>
      </c>
      <c r="B50" s="9" t="s">
        <v>276</v>
      </c>
      <c r="C50" s="9" t="s">
        <v>6</v>
      </c>
      <c r="D50" s="5">
        <v>0</v>
      </c>
      <c r="E50" s="4"/>
      <c r="F50" s="4"/>
      <c r="G50" s="5">
        <v>0</v>
      </c>
    </row>
    <row r="51" spans="1:7" ht="12.75" customHeight="1" x14ac:dyDescent="0.25">
      <c r="A51" s="8">
        <v>188</v>
      </c>
      <c r="B51" s="9" t="s">
        <v>551</v>
      </c>
      <c r="C51" s="9" t="s">
        <v>6</v>
      </c>
      <c r="D51" s="5">
        <v>0</v>
      </c>
      <c r="E51" s="4"/>
      <c r="F51" s="4"/>
      <c r="G51" s="4"/>
    </row>
    <row r="52" spans="1:7" ht="12.75" customHeight="1" x14ac:dyDescent="0.25">
      <c r="A52" s="8">
        <v>190</v>
      </c>
      <c r="B52" s="9" t="s">
        <v>9</v>
      </c>
      <c r="C52" s="9" t="s">
        <v>6</v>
      </c>
      <c r="D52" s="5">
        <v>172500</v>
      </c>
      <c r="E52" s="4"/>
      <c r="F52" s="5">
        <v>250974</v>
      </c>
      <c r="G52" s="5">
        <v>62266</v>
      </c>
    </row>
    <row r="53" spans="1:7" ht="12.75" customHeight="1" x14ac:dyDescent="0.25">
      <c r="A53" s="8">
        <v>191</v>
      </c>
      <c r="B53" s="9" t="s">
        <v>111</v>
      </c>
      <c r="C53" s="9" t="s">
        <v>6</v>
      </c>
      <c r="D53" s="5">
        <v>0</v>
      </c>
      <c r="E53" s="4"/>
      <c r="F53" s="4"/>
      <c r="G53" s="4"/>
    </row>
    <row r="54" spans="1:7" ht="12.75" customHeight="1" x14ac:dyDescent="0.25">
      <c r="A54" s="8">
        <v>192</v>
      </c>
      <c r="B54" s="9" t="s">
        <v>14</v>
      </c>
      <c r="C54" s="9" t="s">
        <v>6</v>
      </c>
      <c r="D54" s="5">
        <v>0</v>
      </c>
      <c r="E54" s="4"/>
      <c r="F54" s="4"/>
      <c r="G54" s="5">
        <v>0</v>
      </c>
    </row>
    <row r="55" spans="1:7" ht="12.75" customHeight="1" x14ac:dyDescent="0.25">
      <c r="A55" s="8">
        <v>197</v>
      </c>
      <c r="B55" s="9" t="s">
        <v>234</v>
      </c>
      <c r="C55" s="9" t="s">
        <v>67</v>
      </c>
      <c r="D55" s="4"/>
      <c r="E55" s="4"/>
      <c r="F55" s="5">
        <v>350</v>
      </c>
      <c r="G55" s="4"/>
    </row>
    <row r="56" spans="1:7" ht="12.75" customHeight="1" x14ac:dyDescent="0.25">
      <c r="A56" s="8">
        <v>198</v>
      </c>
      <c r="B56" s="9" t="s">
        <v>73</v>
      </c>
      <c r="C56" s="9" t="s">
        <v>67</v>
      </c>
      <c r="D56" s="4"/>
      <c r="E56" s="5">
        <v>14300</v>
      </c>
      <c r="F56" s="5">
        <v>8440</v>
      </c>
      <c r="G56" s="4"/>
    </row>
    <row r="57" spans="1:7" ht="12.75" customHeight="1" x14ac:dyDescent="0.25">
      <c r="A57" s="8">
        <v>199</v>
      </c>
      <c r="B57" s="9" t="s">
        <v>237</v>
      </c>
      <c r="C57" s="9" t="s">
        <v>67</v>
      </c>
      <c r="D57" s="4"/>
      <c r="E57" s="5">
        <v>34500</v>
      </c>
      <c r="F57" s="5">
        <v>500</v>
      </c>
      <c r="G57" s="4"/>
    </row>
    <row r="58" spans="1:7" ht="12.75" customHeight="1" x14ac:dyDescent="0.25">
      <c r="A58" s="8">
        <v>201</v>
      </c>
      <c r="B58" s="9" t="s">
        <v>72</v>
      </c>
      <c r="C58" s="9" t="s">
        <v>67</v>
      </c>
      <c r="D58" s="4"/>
      <c r="E58" s="4"/>
      <c r="F58" s="5">
        <v>10575</v>
      </c>
      <c r="G58" s="4"/>
    </row>
    <row r="59" spans="1:7" ht="12.75" customHeight="1" x14ac:dyDescent="0.25">
      <c r="A59" s="8">
        <v>202</v>
      </c>
      <c r="B59" s="9" t="s">
        <v>239</v>
      </c>
      <c r="C59" s="9" t="s">
        <v>67</v>
      </c>
      <c r="D59" s="4"/>
      <c r="E59" s="5">
        <v>272</v>
      </c>
      <c r="F59" s="4"/>
      <c r="G59" s="4"/>
    </row>
    <row r="60" spans="1:7" ht="12.75" customHeight="1" x14ac:dyDescent="0.25">
      <c r="A60" s="8">
        <v>204</v>
      </c>
      <c r="B60" s="9" t="s">
        <v>75</v>
      </c>
      <c r="C60" s="9" t="s">
        <v>67</v>
      </c>
      <c r="D60" s="4"/>
      <c r="E60" s="5">
        <v>19890</v>
      </c>
      <c r="F60" s="5">
        <v>9700</v>
      </c>
      <c r="G60" s="4"/>
    </row>
    <row r="61" spans="1:7" ht="12.75" customHeight="1" x14ac:dyDescent="0.25">
      <c r="A61" s="8">
        <v>209</v>
      </c>
      <c r="B61" s="9" t="s">
        <v>63</v>
      </c>
      <c r="C61" s="9" t="s">
        <v>64</v>
      </c>
      <c r="D61" s="4"/>
      <c r="E61" s="5">
        <v>24707</v>
      </c>
      <c r="F61" s="4"/>
      <c r="G61" s="4"/>
    </row>
    <row r="62" spans="1:7" ht="12.75" customHeight="1" x14ac:dyDescent="0.25">
      <c r="A62" s="8">
        <v>210</v>
      </c>
      <c r="B62" s="9" t="s">
        <v>222</v>
      </c>
      <c r="C62" s="9" t="s">
        <v>223</v>
      </c>
      <c r="D62" s="5">
        <v>0</v>
      </c>
      <c r="E62" s="5">
        <v>6292</v>
      </c>
      <c r="F62" s="5">
        <v>46</v>
      </c>
      <c r="G62" s="5">
        <v>0</v>
      </c>
    </row>
    <row r="63" spans="1:7" ht="12.75" customHeight="1" x14ac:dyDescent="0.25">
      <c r="A63" s="8">
        <v>215</v>
      </c>
      <c r="B63" s="9" t="s">
        <v>117</v>
      </c>
      <c r="C63" s="9" t="s">
        <v>6</v>
      </c>
      <c r="D63" s="5">
        <v>0</v>
      </c>
      <c r="E63" s="4"/>
      <c r="F63" s="4"/>
      <c r="G63" s="4"/>
    </row>
    <row r="64" spans="1:7" ht="12.75" customHeight="1" x14ac:dyDescent="0.25">
      <c r="A64" s="8">
        <v>216</v>
      </c>
      <c r="B64" s="9" t="s">
        <v>134</v>
      </c>
      <c r="C64" s="9" t="s">
        <v>6</v>
      </c>
      <c r="D64" s="5">
        <v>0</v>
      </c>
      <c r="E64" s="4"/>
      <c r="F64" s="4"/>
      <c r="G64" s="5">
        <v>0</v>
      </c>
    </row>
    <row r="65" spans="1:7" ht="12.75" customHeight="1" x14ac:dyDescent="0.25">
      <c r="A65" s="8">
        <v>221</v>
      </c>
      <c r="B65" s="9" t="s">
        <v>69</v>
      </c>
      <c r="C65" s="9" t="s">
        <v>22</v>
      </c>
      <c r="D65" s="4"/>
      <c r="E65" s="5">
        <v>34766</v>
      </c>
      <c r="F65" s="4"/>
      <c r="G65" s="4"/>
    </row>
    <row r="66" spans="1:7" ht="12.75" customHeight="1" x14ac:dyDescent="0.25">
      <c r="A66" s="8">
        <v>224</v>
      </c>
      <c r="B66" s="9" t="s">
        <v>46</v>
      </c>
      <c r="C66" s="9" t="s">
        <v>22</v>
      </c>
      <c r="D66" s="4"/>
      <c r="E66" s="5">
        <v>80</v>
      </c>
      <c r="F66" s="4"/>
      <c r="G66" s="4"/>
    </row>
    <row r="67" spans="1:7" ht="12.75" customHeight="1" x14ac:dyDescent="0.25">
      <c r="A67" s="8">
        <v>234</v>
      </c>
      <c r="B67" s="9" t="s">
        <v>202</v>
      </c>
      <c r="C67" s="9" t="s">
        <v>22</v>
      </c>
      <c r="D67" s="5">
        <v>3600</v>
      </c>
      <c r="E67" s="4"/>
      <c r="F67" s="4"/>
      <c r="G67" s="4"/>
    </row>
    <row r="68" spans="1:7" ht="12.75" customHeight="1" x14ac:dyDescent="0.25">
      <c r="A68" s="8">
        <v>239</v>
      </c>
      <c r="B68" s="9" t="s">
        <v>167</v>
      </c>
      <c r="C68" s="9" t="s">
        <v>22</v>
      </c>
      <c r="D68" s="4"/>
      <c r="E68" s="4"/>
      <c r="F68" s="5">
        <v>0</v>
      </c>
      <c r="G68" s="4"/>
    </row>
    <row r="69" spans="1:7" ht="12.75" customHeight="1" x14ac:dyDescent="0.25">
      <c r="A69" s="8">
        <v>246</v>
      </c>
      <c r="B69" s="9" t="s">
        <v>163</v>
      </c>
      <c r="C69" s="9" t="s">
        <v>22</v>
      </c>
      <c r="D69" s="4"/>
      <c r="E69" s="5">
        <v>2020</v>
      </c>
      <c r="F69" s="5">
        <v>47</v>
      </c>
      <c r="G69" s="4"/>
    </row>
    <row r="70" spans="1:7" ht="12.75" customHeight="1" x14ac:dyDescent="0.25">
      <c r="A70" s="8">
        <v>255</v>
      </c>
      <c r="B70" s="9" t="s">
        <v>24</v>
      </c>
      <c r="C70" s="9" t="s">
        <v>22</v>
      </c>
      <c r="D70" s="4"/>
      <c r="E70" s="5">
        <v>13218</v>
      </c>
      <c r="F70" s="5">
        <v>6090</v>
      </c>
      <c r="G70" s="4"/>
    </row>
    <row r="71" spans="1:7" ht="12.75" customHeight="1" x14ac:dyDescent="0.25">
      <c r="A71" s="8">
        <v>257</v>
      </c>
      <c r="B71" s="9" t="s">
        <v>175</v>
      </c>
      <c r="C71" s="9" t="s">
        <v>22</v>
      </c>
      <c r="D71" s="4"/>
      <c r="E71" s="5">
        <v>2470</v>
      </c>
      <c r="F71" s="4"/>
      <c r="G71" s="4"/>
    </row>
    <row r="72" spans="1:7" ht="12.75" customHeight="1" x14ac:dyDescent="0.25">
      <c r="A72" s="8">
        <v>267</v>
      </c>
      <c r="B72" s="9" t="s">
        <v>70</v>
      </c>
      <c r="C72" s="9" t="s">
        <v>67</v>
      </c>
      <c r="D72" s="4"/>
      <c r="E72" s="5">
        <v>2065</v>
      </c>
      <c r="F72" s="4"/>
      <c r="G72" s="4"/>
    </row>
    <row r="73" spans="1:7" ht="12.75" customHeight="1" x14ac:dyDescent="0.25">
      <c r="A73" s="8">
        <v>270</v>
      </c>
      <c r="B73" s="9" t="s">
        <v>108</v>
      </c>
      <c r="C73" s="9" t="s">
        <v>6</v>
      </c>
      <c r="D73" s="5">
        <v>10000</v>
      </c>
      <c r="E73" s="4"/>
      <c r="F73" s="4"/>
      <c r="G73" s="5">
        <v>0</v>
      </c>
    </row>
    <row r="74" spans="1:7" ht="12.75" customHeight="1" x14ac:dyDescent="0.25">
      <c r="A74" s="8">
        <v>271</v>
      </c>
      <c r="B74" s="9" t="s">
        <v>349</v>
      </c>
      <c r="C74" s="9" t="s">
        <v>6</v>
      </c>
      <c r="D74" s="5">
        <v>0</v>
      </c>
      <c r="E74" s="4"/>
      <c r="F74" s="4"/>
      <c r="G74" s="5">
        <v>0</v>
      </c>
    </row>
    <row r="75" spans="1:7" ht="12.75" customHeight="1" x14ac:dyDescent="0.25">
      <c r="A75" s="8">
        <v>279</v>
      </c>
      <c r="B75" s="9" t="s">
        <v>262</v>
      </c>
      <c r="C75" s="9" t="s">
        <v>6</v>
      </c>
      <c r="D75" s="5">
        <v>0</v>
      </c>
      <c r="E75" s="4"/>
      <c r="F75" s="4"/>
      <c r="G75" s="4"/>
    </row>
    <row r="76" spans="1:7" ht="12.75" customHeight="1" x14ac:dyDescent="0.25">
      <c r="A76" s="8">
        <v>281</v>
      </c>
      <c r="B76" s="9" t="s">
        <v>121</v>
      </c>
      <c r="C76" s="9" t="s">
        <v>6</v>
      </c>
      <c r="D76" s="5">
        <v>0</v>
      </c>
      <c r="E76" s="4"/>
      <c r="F76" s="4"/>
      <c r="G76" s="4"/>
    </row>
    <row r="77" spans="1:7" ht="12.75" customHeight="1" x14ac:dyDescent="0.25">
      <c r="A77" s="8">
        <v>283</v>
      </c>
      <c r="B77" s="9" t="s">
        <v>542</v>
      </c>
      <c r="C77" s="9" t="s">
        <v>6</v>
      </c>
      <c r="D77" s="5">
        <v>0</v>
      </c>
      <c r="E77" s="4"/>
      <c r="F77" s="4"/>
      <c r="G77" s="5">
        <v>100</v>
      </c>
    </row>
    <row r="78" spans="1:7" ht="12.75" customHeight="1" x14ac:dyDescent="0.25">
      <c r="A78" s="8">
        <v>284</v>
      </c>
      <c r="B78" s="9" t="s">
        <v>484</v>
      </c>
      <c r="C78" s="9" t="s">
        <v>6</v>
      </c>
      <c r="D78" s="4"/>
      <c r="E78" s="4"/>
      <c r="F78" s="4"/>
      <c r="G78" s="5">
        <v>158</v>
      </c>
    </row>
    <row r="79" spans="1:7" ht="12.75" customHeight="1" x14ac:dyDescent="0.25">
      <c r="A79" s="8">
        <v>290</v>
      </c>
      <c r="B79" s="9" t="s">
        <v>255</v>
      </c>
      <c r="C79" s="9" t="s">
        <v>6</v>
      </c>
      <c r="D79" s="5">
        <v>0</v>
      </c>
      <c r="E79" s="4"/>
      <c r="F79" s="4"/>
      <c r="G79" s="5">
        <v>0</v>
      </c>
    </row>
    <row r="80" spans="1:7" ht="12.75" customHeight="1" x14ac:dyDescent="0.25">
      <c r="A80" s="8">
        <v>293</v>
      </c>
      <c r="B80" s="9" t="s">
        <v>264</v>
      </c>
      <c r="C80" s="9" t="s">
        <v>6</v>
      </c>
      <c r="D80" s="5">
        <v>0</v>
      </c>
      <c r="E80" s="4"/>
      <c r="F80" s="4"/>
      <c r="G80" s="5">
        <v>0</v>
      </c>
    </row>
    <row r="81" spans="1:7" ht="12.75" customHeight="1" x14ac:dyDescent="0.25">
      <c r="A81" s="8">
        <v>295</v>
      </c>
      <c r="B81" s="9" t="s">
        <v>277</v>
      </c>
      <c r="C81" s="9" t="s">
        <v>6</v>
      </c>
      <c r="D81" s="5">
        <v>0</v>
      </c>
      <c r="E81" s="4"/>
      <c r="F81" s="4"/>
      <c r="G81" s="4"/>
    </row>
    <row r="82" spans="1:7" ht="12.75" customHeight="1" x14ac:dyDescent="0.25">
      <c r="A82" s="8">
        <v>296</v>
      </c>
      <c r="B82" s="9" t="s">
        <v>801</v>
      </c>
      <c r="C82" s="9" t="s">
        <v>6</v>
      </c>
      <c r="D82" s="5">
        <v>0</v>
      </c>
      <c r="E82" s="4"/>
      <c r="F82" s="4"/>
      <c r="G82" s="5">
        <v>0</v>
      </c>
    </row>
    <row r="83" spans="1:7" ht="12.75" customHeight="1" x14ac:dyDescent="0.25">
      <c r="A83" s="8">
        <v>298</v>
      </c>
      <c r="B83" s="9" t="s">
        <v>97</v>
      </c>
      <c r="C83" s="9" t="s">
        <v>6</v>
      </c>
      <c r="D83" s="5">
        <v>0</v>
      </c>
      <c r="E83" s="5">
        <v>310</v>
      </c>
      <c r="F83" s="4"/>
      <c r="G83" s="4"/>
    </row>
    <row r="84" spans="1:7" ht="12.75" customHeight="1" x14ac:dyDescent="0.25">
      <c r="A84" s="8">
        <v>299</v>
      </c>
      <c r="B84" s="9" t="s">
        <v>267</v>
      </c>
      <c r="C84" s="9" t="s">
        <v>6</v>
      </c>
      <c r="D84" s="5">
        <v>0</v>
      </c>
      <c r="E84" s="4"/>
      <c r="F84" s="4"/>
      <c r="G84" s="4"/>
    </row>
    <row r="85" spans="1:7" ht="12.75" customHeight="1" x14ac:dyDescent="0.25">
      <c r="A85" s="8">
        <v>306</v>
      </c>
      <c r="B85" s="9" t="s">
        <v>130</v>
      </c>
      <c r="C85" s="9" t="s">
        <v>6</v>
      </c>
      <c r="D85" s="4"/>
      <c r="E85" s="5">
        <v>80</v>
      </c>
      <c r="F85" s="5">
        <v>90</v>
      </c>
      <c r="G85" s="4"/>
    </row>
    <row r="86" spans="1:7" ht="12.75" customHeight="1" x14ac:dyDescent="0.25">
      <c r="A86" s="8">
        <v>311</v>
      </c>
      <c r="B86" s="9" t="s">
        <v>519</v>
      </c>
      <c r="C86" s="9" t="s">
        <v>6</v>
      </c>
      <c r="D86" s="4"/>
      <c r="E86" s="4"/>
      <c r="F86" s="4"/>
      <c r="G86" s="5">
        <v>0</v>
      </c>
    </row>
    <row r="87" spans="1:7" ht="12.75" customHeight="1" x14ac:dyDescent="0.25">
      <c r="A87" s="8">
        <v>314</v>
      </c>
      <c r="B87" s="9" t="s">
        <v>247</v>
      </c>
      <c r="C87" s="9" t="s">
        <v>6</v>
      </c>
      <c r="D87" s="5">
        <v>0</v>
      </c>
      <c r="E87" s="4"/>
      <c r="F87" s="4"/>
      <c r="G87" s="4"/>
    </row>
    <row r="88" spans="1:7" ht="12.75" customHeight="1" x14ac:dyDescent="0.25">
      <c r="A88" s="8">
        <v>315</v>
      </c>
      <c r="B88" s="9" t="s">
        <v>83</v>
      </c>
      <c r="C88" s="9" t="s">
        <v>6</v>
      </c>
      <c r="D88" s="5">
        <v>0</v>
      </c>
      <c r="E88" s="4"/>
      <c r="F88" s="4"/>
      <c r="G88" s="5">
        <v>0</v>
      </c>
    </row>
    <row r="89" spans="1:7" ht="12.75" customHeight="1" x14ac:dyDescent="0.25">
      <c r="A89" s="8">
        <v>322</v>
      </c>
      <c r="B89" s="9" t="s">
        <v>86</v>
      </c>
      <c r="C89" s="9" t="s">
        <v>6</v>
      </c>
      <c r="D89" s="5">
        <v>390</v>
      </c>
      <c r="E89" s="4"/>
      <c r="F89" s="4"/>
      <c r="G89" s="5">
        <v>0</v>
      </c>
    </row>
    <row r="90" spans="1:7" ht="12.75" customHeight="1" x14ac:dyDescent="0.25">
      <c r="A90" s="8">
        <v>324</v>
      </c>
      <c r="B90" s="9" t="s">
        <v>85</v>
      </c>
      <c r="C90" s="9" t="s">
        <v>6</v>
      </c>
      <c r="D90" s="5">
        <v>1800</v>
      </c>
      <c r="E90" s="4"/>
      <c r="F90" s="4"/>
      <c r="G90" s="5">
        <v>14704</v>
      </c>
    </row>
    <row r="91" spans="1:7" ht="12.75" customHeight="1" x14ac:dyDescent="0.25">
      <c r="A91" s="8">
        <v>325</v>
      </c>
      <c r="B91" s="9" t="s">
        <v>135</v>
      </c>
      <c r="C91" s="9" t="s">
        <v>6</v>
      </c>
      <c r="D91" s="5">
        <v>50</v>
      </c>
      <c r="E91" s="4"/>
      <c r="F91" s="5">
        <v>40</v>
      </c>
      <c r="G91" s="5">
        <v>450</v>
      </c>
    </row>
    <row r="92" spans="1:7" ht="12.75" customHeight="1" x14ac:dyDescent="0.25">
      <c r="A92" s="8">
        <v>327</v>
      </c>
      <c r="B92" s="9" t="s">
        <v>285</v>
      </c>
      <c r="C92" s="9" t="s">
        <v>6</v>
      </c>
      <c r="D92" s="5">
        <v>0</v>
      </c>
      <c r="E92" s="4"/>
      <c r="F92" s="4"/>
      <c r="G92" s="5">
        <v>0</v>
      </c>
    </row>
    <row r="93" spans="1:7" ht="12.75" customHeight="1" x14ac:dyDescent="0.25">
      <c r="A93" s="8">
        <v>328</v>
      </c>
      <c r="B93" s="9" t="s">
        <v>286</v>
      </c>
      <c r="C93" s="9" t="s">
        <v>6</v>
      </c>
      <c r="D93" s="5">
        <v>0</v>
      </c>
      <c r="E93" s="4"/>
      <c r="F93" s="4"/>
      <c r="G93" s="5">
        <v>0</v>
      </c>
    </row>
    <row r="94" spans="1:7" ht="12.75" customHeight="1" x14ac:dyDescent="0.25">
      <c r="A94" s="8">
        <v>331</v>
      </c>
      <c r="B94" s="9" t="s">
        <v>488</v>
      </c>
      <c r="C94" s="9" t="s">
        <v>6</v>
      </c>
      <c r="D94" s="5">
        <v>0</v>
      </c>
      <c r="E94" s="4"/>
      <c r="F94" s="4"/>
      <c r="G94" s="4"/>
    </row>
    <row r="95" spans="1:7" ht="12.75" customHeight="1" x14ac:dyDescent="0.25">
      <c r="A95" s="8">
        <v>334</v>
      </c>
      <c r="B95" s="9" t="s">
        <v>50</v>
      </c>
      <c r="C95" s="9" t="s">
        <v>22</v>
      </c>
      <c r="D95" s="4"/>
      <c r="E95" s="5">
        <v>5000</v>
      </c>
      <c r="F95" s="4"/>
      <c r="G95" s="4"/>
    </row>
    <row r="96" spans="1:7" ht="12.75" customHeight="1" x14ac:dyDescent="0.25">
      <c r="A96" s="8">
        <v>336</v>
      </c>
      <c r="B96" s="9" t="s">
        <v>244</v>
      </c>
      <c r="C96" s="9" t="s">
        <v>6</v>
      </c>
      <c r="D96" s="5">
        <v>0</v>
      </c>
      <c r="E96" s="4"/>
      <c r="F96" s="4"/>
      <c r="G96" s="5">
        <v>0</v>
      </c>
    </row>
    <row r="97" spans="1:7" ht="12.75" customHeight="1" x14ac:dyDescent="0.25">
      <c r="A97" s="8">
        <v>337</v>
      </c>
      <c r="B97" s="9" t="s">
        <v>320</v>
      </c>
      <c r="C97" s="9" t="s">
        <v>6</v>
      </c>
      <c r="D97" s="5">
        <v>0</v>
      </c>
      <c r="E97" s="4"/>
      <c r="F97" s="4"/>
      <c r="G97" s="5">
        <v>0</v>
      </c>
    </row>
    <row r="98" spans="1:7" ht="12.75" customHeight="1" x14ac:dyDescent="0.25">
      <c r="A98" s="8">
        <v>339</v>
      </c>
      <c r="B98" s="9" t="s">
        <v>788</v>
      </c>
      <c r="C98" s="9" t="s">
        <v>6</v>
      </c>
      <c r="D98" s="5">
        <v>1512</v>
      </c>
      <c r="E98" s="5">
        <v>2000</v>
      </c>
      <c r="F98" s="5">
        <v>898</v>
      </c>
      <c r="G98" s="5">
        <v>3620</v>
      </c>
    </row>
    <row r="99" spans="1:7" ht="12.75" customHeight="1" x14ac:dyDescent="0.25">
      <c r="A99" s="8">
        <v>340</v>
      </c>
      <c r="B99" s="9" t="s">
        <v>245</v>
      </c>
      <c r="C99" s="9" t="s">
        <v>6</v>
      </c>
      <c r="D99" s="5">
        <v>0</v>
      </c>
      <c r="E99" s="4"/>
      <c r="F99" s="4"/>
      <c r="G99" s="5">
        <v>0</v>
      </c>
    </row>
    <row r="100" spans="1:7" ht="12.75" customHeight="1" x14ac:dyDescent="0.25">
      <c r="A100" s="8">
        <v>341</v>
      </c>
      <c r="B100" s="9" t="s">
        <v>295</v>
      </c>
      <c r="C100" s="9" t="s">
        <v>6</v>
      </c>
      <c r="D100" s="5">
        <v>0</v>
      </c>
      <c r="E100" s="5">
        <v>275</v>
      </c>
      <c r="F100" s="4"/>
      <c r="G100" s="5">
        <v>0</v>
      </c>
    </row>
    <row r="101" spans="1:7" ht="12.75" customHeight="1" x14ac:dyDescent="0.25">
      <c r="A101" s="8">
        <v>343</v>
      </c>
      <c r="B101" s="9" t="s">
        <v>77</v>
      </c>
      <c r="C101" s="9" t="s">
        <v>6</v>
      </c>
      <c r="D101" s="5">
        <v>7</v>
      </c>
      <c r="E101" s="4"/>
      <c r="F101" s="5">
        <v>30</v>
      </c>
      <c r="G101" s="5">
        <v>40</v>
      </c>
    </row>
    <row r="102" spans="1:7" ht="12.75" customHeight="1" x14ac:dyDescent="0.25">
      <c r="A102" s="8">
        <v>346</v>
      </c>
      <c r="B102" s="9" t="s">
        <v>487</v>
      </c>
      <c r="C102" s="9" t="s">
        <v>6</v>
      </c>
      <c r="D102" s="5">
        <v>0</v>
      </c>
      <c r="E102" s="4"/>
      <c r="F102" s="4"/>
      <c r="G102" s="5">
        <v>0</v>
      </c>
    </row>
    <row r="103" spans="1:7" ht="12.75" customHeight="1" x14ac:dyDescent="0.25">
      <c r="A103" s="8">
        <v>347</v>
      </c>
      <c r="B103" s="9" t="s">
        <v>309</v>
      </c>
      <c r="C103" s="9" t="s">
        <v>6</v>
      </c>
      <c r="D103" s="5">
        <v>0</v>
      </c>
      <c r="E103" s="4"/>
      <c r="F103" s="4"/>
      <c r="G103" s="5">
        <v>0</v>
      </c>
    </row>
    <row r="104" spans="1:7" ht="12.75" customHeight="1" x14ac:dyDescent="0.25">
      <c r="A104" s="8">
        <v>348</v>
      </c>
      <c r="B104" s="9" t="s">
        <v>272</v>
      </c>
      <c r="C104" s="9" t="s">
        <v>6</v>
      </c>
      <c r="D104" s="5">
        <v>0</v>
      </c>
      <c r="E104" s="5">
        <v>40</v>
      </c>
      <c r="F104" s="4"/>
      <c r="G104" s="5">
        <v>0</v>
      </c>
    </row>
    <row r="105" spans="1:7" ht="12.75" customHeight="1" x14ac:dyDescent="0.25">
      <c r="A105" s="8">
        <v>349</v>
      </c>
      <c r="B105" s="9" t="s">
        <v>10</v>
      </c>
      <c r="C105" s="9" t="s">
        <v>6</v>
      </c>
      <c r="D105" s="5">
        <v>18050</v>
      </c>
      <c r="E105" s="4"/>
      <c r="F105" s="4"/>
      <c r="G105" s="5">
        <v>0</v>
      </c>
    </row>
    <row r="106" spans="1:7" ht="12.75" customHeight="1" x14ac:dyDescent="0.25">
      <c r="A106" s="8">
        <v>350</v>
      </c>
      <c r="B106" s="9" t="s">
        <v>11</v>
      </c>
      <c r="C106" s="9" t="s">
        <v>6</v>
      </c>
      <c r="D106" s="5">
        <v>0</v>
      </c>
      <c r="E106" s="4"/>
      <c r="F106" s="4"/>
      <c r="G106" s="5">
        <v>0</v>
      </c>
    </row>
    <row r="107" spans="1:7" ht="12.75" customHeight="1" x14ac:dyDescent="0.25">
      <c r="A107" s="8">
        <v>355</v>
      </c>
      <c r="B107" s="9" t="s">
        <v>300</v>
      </c>
      <c r="C107" s="9" t="s">
        <v>6</v>
      </c>
      <c r="D107" s="5">
        <v>0</v>
      </c>
      <c r="E107" s="4"/>
      <c r="F107" s="4"/>
      <c r="G107" s="4"/>
    </row>
    <row r="108" spans="1:7" ht="12.75" customHeight="1" x14ac:dyDescent="0.25">
      <c r="A108" s="8">
        <v>359</v>
      </c>
      <c r="B108" s="9" t="s">
        <v>268</v>
      </c>
      <c r="C108" s="9" t="s">
        <v>6</v>
      </c>
      <c r="D108" s="5">
        <v>0</v>
      </c>
      <c r="E108" s="4"/>
      <c r="F108" s="4"/>
      <c r="G108" s="4"/>
    </row>
    <row r="109" spans="1:7" ht="12.75" customHeight="1" x14ac:dyDescent="0.25">
      <c r="A109" s="8">
        <v>362</v>
      </c>
      <c r="B109" s="9" t="s">
        <v>78</v>
      </c>
      <c r="C109" s="9" t="s">
        <v>6</v>
      </c>
      <c r="D109" s="4"/>
      <c r="E109" s="4"/>
      <c r="F109" s="4"/>
      <c r="G109" s="5">
        <v>0</v>
      </c>
    </row>
    <row r="110" spans="1:7" ht="12.75" customHeight="1" x14ac:dyDescent="0.25">
      <c r="A110" s="8">
        <v>364</v>
      </c>
      <c r="B110" s="9" t="s">
        <v>208</v>
      </c>
      <c r="C110" s="9" t="s">
        <v>22</v>
      </c>
      <c r="D110" s="4"/>
      <c r="E110" s="5">
        <v>2950</v>
      </c>
      <c r="F110" s="4"/>
      <c r="G110" s="4"/>
    </row>
    <row r="111" spans="1:7" ht="12.75" customHeight="1" x14ac:dyDescent="0.25">
      <c r="A111" s="8">
        <v>366</v>
      </c>
      <c r="B111" s="9" t="s">
        <v>485</v>
      </c>
      <c r="C111" s="9" t="s">
        <v>6</v>
      </c>
      <c r="D111" s="5">
        <v>3150</v>
      </c>
      <c r="E111" s="4"/>
      <c r="F111" s="4"/>
      <c r="G111" s="4"/>
    </row>
    <row r="112" spans="1:7" ht="12.75" customHeight="1" x14ac:dyDescent="0.25">
      <c r="A112" s="8">
        <v>368</v>
      </c>
      <c r="B112" s="9" t="s">
        <v>95</v>
      </c>
      <c r="C112" s="9" t="s">
        <v>6</v>
      </c>
      <c r="D112" s="5">
        <v>4500</v>
      </c>
      <c r="E112" s="4"/>
      <c r="F112" s="4"/>
      <c r="G112" s="4"/>
    </row>
    <row r="113" spans="1:7" ht="12.75" customHeight="1" x14ac:dyDescent="0.25">
      <c r="A113" s="8">
        <v>369</v>
      </c>
      <c r="B113" s="9" t="s">
        <v>520</v>
      </c>
      <c r="C113" s="9" t="s">
        <v>6</v>
      </c>
      <c r="D113" s="5">
        <v>0</v>
      </c>
      <c r="E113" s="5">
        <v>800</v>
      </c>
      <c r="F113" s="4"/>
      <c r="G113" s="4"/>
    </row>
    <row r="114" spans="1:7" ht="12.75" customHeight="1" x14ac:dyDescent="0.25">
      <c r="A114" s="8">
        <v>372</v>
      </c>
      <c r="B114" s="9" t="s">
        <v>114</v>
      </c>
      <c r="C114" s="9" t="s">
        <v>6</v>
      </c>
      <c r="D114" s="5">
        <v>0</v>
      </c>
      <c r="E114" s="4"/>
      <c r="F114" s="4"/>
      <c r="G114" s="5">
        <v>0</v>
      </c>
    </row>
    <row r="115" spans="1:7" ht="12.75" customHeight="1" x14ac:dyDescent="0.25">
      <c r="A115" s="8">
        <v>374</v>
      </c>
      <c r="B115" s="9" t="s">
        <v>94</v>
      </c>
      <c r="C115" s="9" t="s">
        <v>6</v>
      </c>
      <c r="D115" s="5">
        <v>0</v>
      </c>
      <c r="E115" s="4"/>
      <c r="F115" s="4"/>
      <c r="G115" s="5">
        <v>0</v>
      </c>
    </row>
    <row r="116" spans="1:7" ht="12.75" customHeight="1" x14ac:dyDescent="0.25">
      <c r="A116" s="8">
        <v>376</v>
      </c>
      <c r="B116" s="9" t="s">
        <v>486</v>
      </c>
      <c r="C116" s="9" t="s">
        <v>6</v>
      </c>
      <c r="D116" s="5">
        <v>0</v>
      </c>
      <c r="E116" s="4"/>
      <c r="F116" s="4"/>
      <c r="G116" s="4"/>
    </row>
    <row r="117" spans="1:7" ht="12.75" customHeight="1" x14ac:dyDescent="0.25">
      <c r="A117" s="8">
        <v>377</v>
      </c>
      <c r="B117" s="9" t="s">
        <v>119</v>
      </c>
      <c r="C117" s="9" t="s">
        <v>6</v>
      </c>
      <c r="D117" s="4"/>
      <c r="E117" s="4"/>
      <c r="F117" s="5">
        <v>724</v>
      </c>
      <c r="G117" s="5">
        <v>0</v>
      </c>
    </row>
    <row r="118" spans="1:7" ht="12.75" customHeight="1" x14ac:dyDescent="0.25">
      <c r="A118" s="8">
        <v>381</v>
      </c>
      <c r="B118" s="9" t="s">
        <v>303</v>
      </c>
      <c r="C118" s="9" t="s">
        <v>6</v>
      </c>
      <c r="D118" s="5">
        <v>0</v>
      </c>
      <c r="E118" s="4"/>
      <c r="F118" s="4"/>
      <c r="G118" s="5">
        <v>0</v>
      </c>
    </row>
    <row r="119" spans="1:7" ht="12.75" customHeight="1" x14ac:dyDescent="0.25">
      <c r="A119" s="8">
        <v>382</v>
      </c>
      <c r="B119" s="9" t="s">
        <v>304</v>
      </c>
      <c r="C119" s="9" t="s">
        <v>6</v>
      </c>
      <c r="D119" s="4"/>
      <c r="E119" s="5">
        <v>730</v>
      </c>
      <c r="F119" s="4"/>
      <c r="G119" s="4"/>
    </row>
    <row r="120" spans="1:7" ht="12.75" customHeight="1" x14ac:dyDescent="0.25">
      <c r="A120" s="8">
        <v>383</v>
      </c>
      <c r="B120" s="9" t="s">
        <v>103</v>
      </c>
      <c r="C120" s="9" t="s">
        <v>6</v>
      </c>
      <c r="D120" s="5">
        <v>0</v>
      </c>
      <c r="E120" s="4"/>
      <c r="F120" s="5">
        <v>2500</v>
      </c>
      <c r="G120" s="4"/>
    </row>
    <row r="121" spans="1:7" ht="12.75" customHeight="1" x14ac:dyDescent="0.25">
      <c r="A121" s="8">
        <v>384</v>
      </c>
      <c r="B121" s="9" t="s">
        <v>312</v>
      </c>
      <c r="C121" s="9" t="s">
        <v>6</v>
      </c>
      <c r="D121" s="4"/>
      <c r="E121" s="4"/>
      <c r="F121" s="4"/>
      <c r="G121" s="5">
        <v>0</v>
      </c>
    </row>
    <row r="122" spans="1:7" ht="12.75" customHeight="1" x14ac:dyDescent="0.25">
      <c r="A122" s="8">
        <v>390</v>
      </c>
      <c r="B122" s="9" t="s">
        <v>87</v>
      </c>
      <c r="C122" s="9" t="s">
        <v>6</v>
      </c>
      <c r="D122" s="5">
        <v>0</v>
      </c>
      <c r="E122" s="4"/>
      <c r="F122" s="4"/>
      <c r="G122" s="5">
        <v>0</v>
      </c>
    </row>
    <row r="123" spans="1:7" ht="12.75" customHeight="1" x14ac:dyDescent="0.25">
      <c r="A123" s="8">
        <v>391</v>
      </c>
      <c r="B123" s="9" t="s">
        <v>271</v>
      </c>
      <c r="C123" s="9" t="s">
        <v>6</v>
      </c>
      <c r="D123" s="5">
        <v>0</v>
      </c>
      <c r="E123" s="4"/>
      <c r="F123" s="4"/>
      <c r="G123" s="4"/>
    </row>
    <row r="124" spans="1:7" ht="12.75" customHeight="1" x14ac:dyDescent="0.25">
      <c r="A124" s="8">
        <v>392</v>
      </c>
      <c r="B124" s="9" t="s">
        <v>507</v>
      </c>
      <c r="C124" s="9" t="s">
        <v>6</v>
      </c>
      <c r="D124" s="5">
        <v>0</v>
      </c>
      <c r="E124" s="4"/>
      <c r="F124" s="4"/>
      <c r="G124" s="4"/>
    </row>
    <row r="125" spans="1:7" ht="12.75" customHeight="1" x14ac:dyDescent="0.25">
      <c r="A125" s="8">
        <v>393</v>
      </c>
      <c r="B125" s="9" t="s">
        <v>489</v>
      </c>
      <c r="C125" s="9" t="s">
        <v>6</v>
      </c>
      <c r="D125" s="5">
        <v>0</v>
      </c>
      <c r="E125" s="4"/>
      <c r="F125" s="4"/>
      <c r="G125" s="4"/>
    </row>
    <row r="126" spans="1:7" ht="12.75" customHeight="1" x14ac:dyDescent="0.25">
      <c r="A126" s="8">
        <v>395</v>
      </c>
      <c r="B126" s="9" t="s">
        <v>88</v>
      </c>
      <c r="C126" s="9" t="s">
        <v>6</v>
      </c>
      <c r="D126" s="5">
        <v>0</v>
      </c>
      <c r="E126" s="4"/>
      <c r="F126" s="4"/>
      <c r="G126" s="5">
        <v>0</v>
      </c>
    </row>
    <row r="127" spans="1:7" ht="12.75" customHeight="1" x14ac:dyDescent="0.25">
      <c r="A127" s="8">
        <v>396</v>
      </c>
      <c r="B127" s="9" t="s">
        <v>246</v>
      </c>
      <c r="C127" s="9" t="s">
        <v>6</v>
      </c>
      <c r="D127" s="5">
        <v>0</v>
      </c>
      <c r="E127" s="4"/>
      <c r="F127" s="4"/>
      <c r="G127" s="4"/>
    </row>
    <row r="128" spans="1:7" ht="12.75" customHeight="1" x14ac:dyDescent="0.25">
      <c r="A128" s="8">
        <v>400</v>
      </c>
      <c r="B128" s="9" t="s">
        <v>17</v>
      </c>
      <c r="C128" s="9" t="s">
        <v>6</v>
      </c>
      <c r="D128" s="4"/>
      <c r="E128" s="4"/>
      <c r="F128" s="5">
        <v>2500</v>
      </c>
      <c r="G128" s="5">
        <v>6693</v>
      </c>
    </row>
    <row r="129" spans="1:7" ht="12.75" customHeight="1" x14ac:dyDescent="0.25">
      <c r="A129" s="8">
        <v>401</v>
      </c>
      <c r="B129" s="9" t="s">
        <v>334</v>
      </c>
      <c r="C129" s="9" t="s">
        <v>6</v>
      </c>
      <c r="D129" s="5">
        <v>0</v>
      </c>
      <c r="E129" s="4"/>
      <c r="F129" s="4"/>
      <c r="G129" s="4"/>
    </row>
    <row r="130" spans="1:7" ht="12.75" customHeight="1" x14ac:dyDescent="0.25">
      <c r="A130" s="8">
        <v>402</v>
      </c>
      <c r="B130" s="9" t="s">
        <v>20</v>
      </c>
      <c r="C130" s="9" t="s">
        <v>6</v>
      </c>
      <c r="D130" s="5">
        <v>0</v>
      </c>
      <c r="E130" s="4"/>
      <c r="F130" s="4"/>
      <c r="G130" s="5">
        <v>0</v>
      </c>
    </row>
    <row r="131" spans="1:7" ht="12.75" customHeight="1" x14ac:dyDescent="0.25">
      <c r="A131" s="8">
        <v>406</v>
      </c>
      <c r="B131" s="9" t="s">
        <v>128</v>
      </c>
      <c r="C131" s="9" t="s">
        <v>6</v>
      </c>
      <c r="D131" s="4"/>
      <c r="E131" s="5">
        <v>85</v>
      </c>
      <c r="F131" s="5">
        <v>160</v>
      </c>
      <c r="G131" s="5">
        <v>300</v>
      </c>
    </row>
    <row r="132" spans="1:7" ht="12.75" customHeight="1" x14ac:dyDescent="0.25">
      <c r="A132" s="8">
        <v>407</v>
      </c>
      <c r="B132" s="9" t="s">
        <v>571</v>
      </c>
      <c r="C132" s="9" t="s">
        <v>6</v>
      </c>
      <c r="D132" s="5">
        <v>1920</v>
      </c>
      <c r="E132" s="4"/>
      <c r="F132" s="4"/>
      <c r="G132" s="4"/>
    </row>
    <row r="133" spans="1:7" ht="12.75" customHeight="1" x14ac:dyDescent="0.25">
      <c r="A133" s="8">
        <v>412</v>
      </c>
      <c r="B133" s="9" t="s">
        <v>297</v>
      </c>
      <c r="C133" s="9" t="s">
        <v>6</v>
      </c>
      <c r="D133" s="4"/>
      <c r="E133" s="4"/>
      <c r="F133" s="5">
        <v>20</v>
      </c>
      <c r="G133" s="5">
        <v>0</v>
      </c>
    </row>
    <row r="134" spans="1:7" ht="12.75" customHeight="1" x14ac:dyDescent="0.25">
      <c r="A134" s="8">
        <v>415</v>
      </c>
      <c r="B134" s="9" t="s">
        <v>358</v>
      </c>
      <c r="C134" s="9" t="s">
        <v>6</v>
      </c>
      <c r="D134" s="5">
        <v>0</v>
      </c>
      <c r="E134" s="4"/>
      <c r="F134" s="4"/>
      <c r="G134" s="4"/>
    </row>
    <row r="135" spans="1:7" ht="12.75" customHeight="1" x14ac:dyDescent="0.25">
      <c r="A135" s="8">
        <v>418</v>
      </c>
      <c r="B135" s="9" t="s">
        <v>278</v>
      </c>
      <c r="C135" s="9" t="s">
        <v>6</v>
      </c>
      <c r="D135" s="5">
        <v>0</v>
      </c>
      <c r="E135" s="4"/>
      <c r="F135" s="4"/>
      <c r="G135" s="5">
        <v>0</v>
      </c>
    </row>
    <row r="136" spans="1:7" ht="12.75" customHeight="1" x14ac:dyDescent="0.25">
      <c r="A136" s="8">
        <v>428</v>
      </c>
      <c r="B136" s="9" t="s">
        <v>316</v>
      </c>
      <c r="C136" s="9" t="s">
        <v>6</v>
      </c>
      <c r="D136" s="5">
        <v>800</v>
      </c>
      <c r="E136" s="4"/>
      <c r="F136" s="5">
        <v>1000</v>
      </c>
      <c r="G136" s="4"/>
    </row>
    <row r="137" spans="1:7" ht="12.75" customHeight="1" x14ac:dyDescent="0.25">
      <c r="A137" s="8">
        <v>429</v>
      </c>
      <c r="B137" s="9" t="s">
        <v>98</v>
      </c>
      <c r="C137" s="9" t="s">
        <v>6</v>
      </c>
      <c r="D137" s="5">
        <v>1190</v>
      </c>
      <c r="E137" s="5">
        <v>170</v>
      </c>
      <c r="F137" s="5">
        <v>5</v>
      </c>
      <c r="G137" s="5">
        <v>0</v>
      </c>
    </row>
    <row r="138" spans="1:7" ht="12.75" customHeight="1" x14ac:dyDescent="0.25">
      <c r="A138" s="8">
        <v>430</v>
      </c>
      <c r="B138" s="9" t="s">
        <v>328</v>
      </c>
      <c r="C138" s="9" t="s">
        <v>6</v>
      </c>
      <c r="D138" s="4"/>
      <c r="E138" s="4"/>
      <c r="F138" s="4"/>
      <c r="G138" s="5">
        <v>9900</v>
      </c>
    </row>
    <row r="139" spans="1:7" ht="12.75" customHeight="1" x14ac:dyDescent="0.25">
      <c r="A139" s="8">
        <v>431</v>
      </c>
      <c r="B139" s="9" t="s">
        <v>323</v>
      </c>
      <c r="C139" s="9" t="s">
        <v>6</v>
      </c>
      <c r="D139" s="4"/>
      <c r="E139" s="4"/>
      <c r="F139" s="4"/>
      <c r="G139" s="5">
        <v>0</v>
      </c>
    </row>
    <row r="140" spans="1:7" ht="12.75" customHeight="1" x14ac:dyDescent="0.25">
      <c r="A140" s="8">
        <v>432</v>
      </c>
      <c r="B140" s="9" t="s">
        <v>553</v>
      </c>
      <c r="C140" s="9" t="s">
        <v>6</v>
      </c>
      <c r="D140" s="5">
        <v>0</v>
      </c>
      <c r="E140" s="4"/>
      <c r="F140" s="4"/>
      <c r="G140" s="4"/>
    </row>
    <row r="141" spans="1:7" ht="12.75" customHeight="1" x14ac:dyDescent="0.25">
      <c r="A141" s="8">
        <v>433</v>
      </c>
      <c r="B141" s="9" t="s">
        <v>332</v>
      </c>
      <c r="C141" s="9" t="s">
        <v>6</v>
      </c>
      <c r="D141" s="5">
        <v>0</v>
      </c>
      <c r="E141" s="4"/>
      <c r="F141" s="4"/>
      <c r="G141" s="4"/>
    </row>
    <row r="142" spans="1:7" ht="12.75" customHeight="1" x14ac:dyDescent="0.25">
      <c r="A142" s="8">
        <v>436</v>
      </c>
      <c r="B142" s="9" t="s">
        <v>132</v>
      </c>
      <c r="C142" s="9" t="s">
        <v>6</v>
      </c>
      <c r="D142" s="4"/>
      <c r="E142" s="5">
        <v>39</v>
      </c>
      <c r="F142" s="5">
        <v>50</v>
      </c>
      <c r="G142" s="5">
        <v>0</v>
      </c>
    </row>
    <row r="143" spans="1:7" ht="12.75" customHeight="1" x14ac:dyDescent="0.25">
      <c r="A143" s="8">
        <v>439</v>
      </c>
      <c r="B143" s="9" t="s">
        <v>96</v>
      </c>
      <c r="C143" s="9" t="s">
        <v>6</v>
      </c>
      <c r="D143" s="5">
        <v>0</v>
      </c>
      <c r="E143" s="5">
        <v>1600</v>
      </c>
      <c r="F143" s="5">
        <v>3760</v>
      </c>
      <c r="G143" s="5">
        <v>0</v>
      </c>
    </row>
    <row r="144" spans="1:7" ht="12.75" customHeight="1" x14ac:dyDescent="0.25">
      <c r="A144" s="8">
        <v>451</v>
      </c>
      <c r="B144" s="9" t="s">
        <v>372</v>
      </c>
      <c r="C144" s="9" t="s">
        <v>6</v>
      </c>
      <c r="D144" s="5">
        <v>0</v>
      </c>
      <c r="E144" s="4"/>
      <c r="F144" s="4"/>
      <c r="G144" s="4"/>
    </row>
    <row r="145" spans="1:7" ht="12.75" customHeight="1" x14ac:dyDescent="0.25">
      <c r="A145" s="8">
        <v>452</v>
      </c>
      <c r="B145" s="9" t="s">
        <v>110</v>
      </c>
      <c r="C145" s="9" t="s">
        <v>6</v>
      </c>
      <c r="D145" s="5">
        <v>300</v>
      </c>
      <c r="E145" s="5">
        <v>500</v>
      </c>
      <c r="F145" s="5">
        <v>80</v>
      </c>
      <c r="G145" s="4"/>
    </row>
    <row r="146" spans="1:7" ht="12.75" customHeight="1" x14ac:dyDescent="0.25">
      <c r="A146" s="8">
        <v>453</v>
      </c>
      <c r="B146" s="9" t="s">
        <v>343</v>
      </c>
      <c r="C146" s="9" t="s">
        <v>6</v>
      </c>
      <c r="D146" s="5">
        <v>0</v>
      </c>
      <c r="E146" s="4"/>
      <c r="F146" s="4"/>
      <c r="G146" s="4"/>
    </row>
    <row r="147" spans="1:7" ht="12.75" customHeight="1" x14ac:dyDescent="0.25">
      <c r="A147" s="8">
        <v>455</v>
      </c>
      <c r="B147" s="9" t="s">
        <v>127</v>
      </c>
      <c r="C147" s="9" t="s">
        <v>6</v>
      </c>
      <c r="D147" s="5">
        <v>0</v>
      </c>
      <c r="E147" s="4"/>
      <c r="F147" s="4"/>
      <c r="G147" s="5">
        <v>0</v>
      </c>
    </row>
    <row r="148" spans="1:7" ht="12.75" customHeight="1" x14ac:dyDescent="0.25">
      <c r="A148" s="8">
        <v>457</v>
      </c>
      <c r="B148" s="9" t="s">
        <v>101</v>
      </c>
      <c r="C148" s="9" t="s">
        <v>6</v>
      </c>
      <c r="D148" s="5">
        <v>0</v>
      </c>
      <c r="E148" s="5">
        <v>1000</v>
      </c>
      <c r="F148" s="5">
        <v>300</v>
      </c>
      <c r="G148" s="5">
        <v>5543</v>
      </c>
    </row>
    <row r="149" spans="1:7" ht="12.75" customHeight="1" x14ac:dyDescent="0.25">
      <c r="A149" s="8">
        <v>459</v>
      </c>
      <c r="B149" s="9" t="s">
        <v>508</v>
      </c>
      <c r="C149" s="9" t="s">
        <v>6</v>
      </c>
      <c r="D149" s="5">
        <v>0</v>
      </c>
      <c r="E149" s="4"/>
      <c r="F149" s="4"/>
      <c r="G149" s="4"/>
    </row>
    <row r="150" spans="1:7" ht="12.75" customHeight="1" x14ac:dyDescent="0.25">
      <c r="A150" s="8">
        <v>460</v>
      </c>
      <c r="B150" s="9" t="s">
        <v>93</v>
      </c>
      <c r="C150" s="9" t="s">
        <v>6</v>
      </c>
      <c r="D150" s="5">
        <v>0</v>
      </c>
      <c r="E150" s="4"/>
      <c r="F150" s="4"/>
      <c r="G150" s="5">
        <v>0</v>
      </c>
    </row>
    <row r="151" spans="1:7" ht="12.75" customHeight="1" x14ac:dyDescent="0.25">
      <c r="A151" s="8">
        <v>462</v>
      </c>
      <c r="B151" s="9" t="s">
        <v>317</v>
      </c>
      <c r="C151" s="9" t="s">
        <v>6</v>
      </c>
      <c r="D151" s="5">
        <v>50</v>
      </c>
      <c r="E151" s="4"/>
      <c r="F151" s="5">
        <v>160</v>
      </c>
      <c r="G151" s="5">
        <v>70</v>
      </c>
    </row>
    <row r="152" spans="1:7" ht="12.75" customHeight="1" x14ac:dyDescent="0.25">
      <c r="A152" s="8">
        <v>464</v>
      </c>
      <c r="B152" s="9" t="s">
        <v>336</v>
      </c>
      <c r="C152" s="9" t="s">
        <v>6</v>
      </c>
      <c r="D152" s="5">
        <v>0</v>
      </c>
      <c r="E152" s="4"/>
      <c r="F152" s="4"/>
      <c r="G152" s="4"/>
    </row>
    <row r="153" spans="1:7" ht="12.75" customHeight="1" x14ac:dyDescent="0.25">
      <c r="A153" s="8">
        <v>470</v>
      </c>
      <c r="B153" s="9" t="s">
        <v>578</v>
      </c>
      <c r="C153" s="9" t="s">
        <v>6</v>
      </c>
      <c r="D153" s="5">
        <v>0</v>
      </c>
      <c r="E153" s="4"/>
      <c r="F153" s="4"/>
      <c r="G153" s="5">
        <v>0</v>
      </c>
    </row>
    <row r="154" spans="1:7" ht="12.75" customHeight="1" x14ac:dyDescent="0.25">
      <c r="A154" s="8">
        <v>472</v>
      </c>
      <c r="B154" s="9" t="s">
        <v>541</v>
      </c>
      <c r="C154" s="9" t="s">
        <v>6</v>
      </c>
      <c r="D154" s="5">
        <v>0</v>
      </c>
      <c r="E154" s="4"/>
      <c r="F154" s="4"/>
      <c r="G154" s="5">
        <v>0</v>
      </c>
    </row>
    <row r="155" spans="1:7" ht="12.75" customHeight="1" x14ac:dyDescent="0.25">
      <c r="A155" s="8">
        <v>479</v>
      </c>
      <c r="B155" s="9" t="s">
        <v>118</v>
      </c>
      <c r="C155" s="9" t="s">
        <v>6</v>
      </c>
      <c r="D155" s="5">
        <v>1500</v>
      </c>
      <c r="E155" s="4"/>
      <c r="F155" s="4"/>
      <c r="G155" s="5">
        <v>0</v>
      </c>
    </row>
    <row r="156" spans="1:7" ht="12.75" customHeight="1" x14ac:dyDescent="0.25">
      <c r="A156" s="8">
        <v>481</v>
      </c>
      <c r="B156" s="9" t="s">
        <v>57</v>
      </c>
      <c r="C156" s="9" t="s">
        <v>22</v>
      </c>
      <c r="D156" s="5">
        <v>370</v>
      </c>
      <c r="E156" s="4"/>
      <c r="F156" s="4"/>
      <c r="G156" s="4"/>
    </row>
    <row r="157" spans="1:7" ht="12.75" customHeight="1" x14ac:dyDescent="0.25">
      <c r="A157" s="8">
        <v>484</v>
      </c>
      <c r="B157" s="9" t="s">
        <v>198</v>
      </c>
      <c r="C157" s="9" t="s">
        <v>22</v>
      </c>
      <c r="D157" s="5">
        <v>180</v>
      </c>
      <c r="E157" s="4"/>
      <c r="F157" s="4"/>
      <c r="G157" s="4"/>
    </row>
    <row r="158" spans="1:7" ht="12.75" customHeight="1" x14ac:dyDescent="0.25">
      <c r="A158" s="8">
        <v>487</v>
      </c>
      <c r="B158" s="9" t="s">
        <v>58</v>
      </c>
      <c r="C158" s="9" t="s">
        <v>22</v>
      </c>
      <c r="D158" s="5">
        <v>6300</v>
      </c>
      <c r="E158" s="4"/>
      <c r="F158" s="4"/>
      <c r="G158" s="4"/>
    </row>
    <row r="159" spans="1:7" ht="12.75" customHeight="1" x14ac:dyDescent="0.25">
      <c r="A159" s="8">
        <v>488</v>
      </c>
      <c r="B159" s="9" t="s">
        <v>59</v>
      </c>
      <c r="C159" s="9" t="s">
        <v>22</v>
      </c>
      <c r="D159" s="5">
        <v>2200</v>
      </c>
      <c r="E159" s="5">
        <v>9440</v>
      </c>
      <c r="F159" s="4"/>
      <c r="G159" s="4"/>
    </row>
    <row r="160" spans="1:7" ht="12.75" customHeight="1" x14ac:dyDescent="0.25">
      <c r="A160" s="8">
        <v>491</v>
      </c>
      <c r="B160" s="9" t="s">
        <v>142</v>
      </c>
      <c r="C160" s="9" t="s">
        <v>22</v>
      </c>
      <c r="D160" s="5">
        <v>0</v>
      </c>
      <c r="E160" s="4"/>
      <c r="F160" s="4"/>
      <c r="G160" s="4"/>
    </row>
    <row r="161" spans="1:7" ht="12.75" customHeight="1" x14ac:dyDescent="0.25">
      <c r="A161" s="8">
        <v>492</v>
      </c>
      <c r="B161" s="9" t="s">
        <v>166</v>
      </c>
      <c r="C161" s="9" t="s">
        <v>22</v>
      </c>
      <c r="D161" s="4"/>
      <c r="E161" s="5">
        <v>0</v>
      </c>
      <c r="F161" s="5">
        <v>0</v>
      </c>
      <c r="G161" s="4"/>
    </row>
    <row r="162" spans="1:7" ht="12.75" customHeight="1" x14ac:dyDescent="0.25">
      <c r="A162" s="8">
        <v>493</v>
      </c>
      <c r="B162" s="9" t="s">
        <v>146</v>
      </c>
      <c r="C162" s="9" t="s">
        <v>22</v>
      </c>
      <c r="D162" s="5">
        <v>0</v>
      </c>
      <c r="E162" s="5">
        <v>830</v>
      </c>
      <c r="F162" s="4"/>
      <c r="G162" s="4"/>
    </row>
    <row r="163" spans="1:7" ht="12.75" customHeight="1" x14ac:dyDescent="0.25">
      <c r="A163" s="8">
        <v>495</v>
      </c>
      <c r="B163" s="9" t="s">
        <v>229</v>
      </c>
      <c r="C163" s="9" t="s">
        <v>22</v>
      </c>
      <c r="D163" s="4"/>
      <c r="E163" s="5">
        <v>1130</v>
      </c>
      <c r="F163" s="4"/>
      <c r="G163" s="4"/>
    </row>
    <row r="164" spans="1:7" ht="12.75" customHeight="1" x14ac:dyDescent="0.25">
      <c r="A164" s="8">
        <v>498</v>
      </c>
      <c r="B164" s="9" t="s">
        <v>383</v>
      </c>
      <c r="C164" s="9" t="s">
        <v>22</v>
      </c>
      <c r="D164" s="4"/>
      <c r="E164" s="5">
        <v>490</v>
      </c>
      <c r="F164" s="4"/>
      <c r="G164" s="4"/>
    </row>
    <row r="165" spans="1:7" ht="12.75" customHeight="1" x14ac:dyDescent="0.25">
      <c r="A165" s="8">
        <v>501</v>
      </c>
      <c r="B165" s="9" t="s">
        <v>29</v>
      </c>
      <c r="C165" s="9" t="s">
        <v>22</v>
      </c>
      <c r="D165" s="4"/>
      <c r="E165" s="5">
        <v>6473</v>
      </c>
      <c r="F165" s="4"/>
      <c r="G165" s="4"/>
    </row>
    <row r="166" spans="1:7" ht="12.75" customHeight="1" x14ac:dyDescent="0.25">
      <c r="A166" s="8">
        <v>503</v>
      </c>
      <c r="B166" s="9" t="s">
        <v>33</v>
      </c>
      <c r="C166" s="9" t="s">
        <v>22</v>
      </c>
      <c r="D166" s="4"/>
      <c r="E166" s="4"/>
      <c r="F166" s="5">
        <v>893</v>
      </c>
      <c r="G166" s="4"/>
    </row>
    <row r="167" spans="1:7" ht="12.75" customHeight="1" x14ac:dyDescent="0.25">
      <c r="A167" s="8">
        <v>512</v>
      </c>
      <c r="B167" s="9" t="s">
        <v>366</v>
      </c>
      <c r="C167" s="9" t="s">
        <v>22</v>
      </c>
      <c r="D167" s="5">
        <v>0</v>
      </c>
      <c r="E167" s="5">
        <v>160</v>
      </c>
      <c r="F167" s="4"/>
      <c r="G167" s="4"/>
    </row>
    <row r="168" spans="1:7" ht="12.75" customHeight="1" x14ac:dyDescent="0.25">
      <c r="A168" s="8">
        <v>517</v>
      </c>
      <c r="B168" s="9" t="s">
        <v>214</v>
      </c>
      <c r="C168" s="9" t="s">
        <v>22</v>
      </c>
      <c r="D168" s="5">
        <v>657</v>
      </c>
      <c r="E168" s="5">
        <v>1000</v>
      </c>
      <c r="F168" s="4"/>
      <c r="G168" s="4"/>
    </row>
    <row r="169" spans="1:7" ht="12.75" customHeight="1" x14ac:dyDescent="0.25">
      <c r="A169" s="8">
        <v>519</v>
      </c>
      <c r="B169" s="9" t="s">
        <v>382</v>
      </c>
      <c r="C169" s="9" t="s">
        <v>22</v>
      </c>
      <c r="D169" s="4"/>
      <c r="E169" s="4"/>
      <c r="F169" s="5">
        <v>0</v>
      </c>
      <c r="G169" s="4"/>
    </row>
    <row r="170" spans="1:7" ht="12.75" customHeight="1" x14ac:dyDescent="0.25">
      <c r="A170" s="8">
        <v>520</v>
      </c>
      <c r="B170" s="9" t="s">
        <v>52</v>
      </c>
      <c r="C170" s="9" t="s">
        <v>22</v>
      </c>
      <c r="D170" s="4"/>
      <c r="E170" s="5">
        <v>552</v>
      </c>
      <c r="F170" s="4"/>
      <c r="G170" s="4"/>
    </row>
    <row r="171" spans="1:7" ht="12.75" customHeight="1" x14ac:dyDescent="0.25">
      <c r="A171" s="8">
        <v>521</v>
      </c>
      <c r="B171" s="9" t="s">
        <v>187</v>
      </c>
      <c r="C171" s="9" t="s">
        <v>22</v>
      </c>
      <c r="D171" s="4"/>
      <c r="E171" s="5">
        <v>5250</v>
      </c>
      <c r="F171" s="4"/>
      <c r="G171" s="4"/>
    </row>
    <row r="172" spans="1:7" ht="12.75" customHeight="1" x14ac:dyDescent="0.25">
      <c r="A172" s="8">
        <v>523</v>
      </c>
      <c r="B172" s="9" t="s">
        <v>32</v>
      </c>
      <c r="C172" s="9" t="s">
        <v>22</v>
      </c>
      <c r="D172" s="4"/>
      <c r="E172" s="5">
        <v>1540</v>
      </c>
      <c r="F172" s="5">
        <v>5341</v>
      </c>
      <c r="G172" s="4"/>
    </row>
    <row r="173" spans="1:7" ht="12.75" customHeight="1" x14ac:dyDescent="0.25">
      <c r="A173" s="8">
        <v>528</v>
      </c>
      <c r="B173" s="9" t="s">
        <v>34</v>
      </c>
      <c r="C173" s="9" t="s">
        <v>22</v>
      </c>
      <c r="D173" s="4"/>
      <c r="E173" s="5">
        <v>7366</v>
      </c>
      <c r="F173" s="5">
        <v>2331</v>
      </c>
      <c r="G173" s="4"/>
    </row>
    <row r="174" spans="1:7" ht="12.75" customHeight="1" x14ac:dyDescent="0.25">
      <c r="A174" s="8">
        <v>529</v>
      </c>
      <c r="B174" s="9" t="s">
        <v>55</v>
      </c>
      <c r="C174" s="9" t="s">
        <v>22</v>
      </c>
      <c r="D174" s="5">
        <v>3470</v>
      </c>
      <c r="E174" s="5">
        <v>2950</v>
      </c>
      <c r="F174" s="4"/>
      <c r="G174" s="4"/>
    </row>
    <row r="175" spans="1:7" ht="12.75" customHeight="1" x14ac:dyDescent="0.25">
      <c r="A175" s="8">
        <v>531</v>
      </c>
      <c r="B175" s="9" t="s">
        <v>299</v>
      </c>
      <c r="C175" s="9" t="s">
        <v>6</v>
      </c>
      <c r="D175" s="5">
        <v>163</v>
      </c>
      <c r="E175" s="4"/>
      <c r="F175" s="4"/>
      <c r="G175" s="5">
        <v>0</v>
      </c>
    </row>
    <row r="176" spans="1:7" ht="12.75" customHeight="1" x14ac:dyDescent="0.25">
      <c r="A176" s="8">
        <v>532</v>
      </c>
      <c r="B176" s="9" t="s">
        <v>534</v>
      </c>
      <c r="C176" s="9" t="s">
        <v>6</v>
      </c>
      <c r="D176" s="5">
        <v>0</v>
      </c>
      <c r="E176" s="4"/>
      <c r="F176" s="4"/>
      <c r="G176" s="4"/>
    </row>
    <row r="177" spans="1:7" ht="12.75" customHeight="1" x14ac:dyDescent="0.25">
      <c r="A177" s="8">
        <v>533</v>
      </c>
      <c r="B177" s="9" t="s">
        <v>7</v>
      </c>
      <c r="C177" s="9" t="s">
        <v>6</v>
      </c>
      <c r="D177" s="5">
        <v>0</v>
      </c>
      <c r="E177" s="4"/>
      <c r="F177" s="4"/>
      <c r="G177" s="4"/>
    </row>
    <row r="178" spans="1:7" ht="12.75" customHeight="1" x14ac:dyDescent="0.25">
      <c r="A178" s="8">
        <v>535</v>
      </c>
      <c r="B178" s="9" t="s">
        <v>82</v>
      </c>
      <c r="C178" s="9" t="s">
        <v>6</v>
      </c>
      <c r="D178" s="5">
        <v>0</v>
      </c>
      <c r="E178" s="5">
        <v>50</v>
      </c>
      <c r="F178" s="4"/>
      <c r="G178" s="4"/>
    </row>
    <row r="179" spans="1:7" ht="12.75" customHeight="1" x14ac:dyDescent="0.25">
      <c r="A179" s="8">
        <v>537</v>
      </c>
      <c r="B179" s="9" t="s">
        <v>506</v>
      </c>
      <c r="C179" s="9" t="s">
        <v>6</v>
      </c>
      <c r="D179" s="5">
        <v>0</v>
      </c>
      <c r="E179" s="4"/>
      <c r="F179" s="4"/>
      <c r="G179" s="4"/>
    </row>
    <row r="180" spans="1:7" ht="12.75" customHeight="1" x14ac:dyDescent="0.25">
      <c r="A180" s="8">
        <v>538</v>
      </c>
      <c r="B180" s="9" t="s">
        <v>80</v>
      </c>
      <c r="C180" s="9" t="s">
        <v>6</v>
      </c>
      <c r="D180" s="5">
        <v>1500</v>
      </c>
      <c r="E180" s="4"/>
      <c r="F180" s="4"/>
      <c r="G180" s="5">
        <v>0</v>
      </c>
    </row>
    <row r="181" spans="1:7" ht="12.75" customHeight="1" x14ac:dyDescent="0.25">
      <c r="A181" s="8">
        <v>539</v>
      </c>
      <c r="B181" s="9" t="s">
        <v>8</v>
      </c>
      <c r="C181" s="9" t="s">
        <v>6</v>
      </c>
      <c r="D181" s="5">
        <v>20</v>
      </c>
      <c r="E181" s="4"/>
      <c r="F181" s="4"/>
      <c r="G181" s="5">
        <v>0</v>
      </c>
    </row>
    <row r="182" spans="1:7" ht="12.75" customHeight="1" x14ac:dyDescent="0.25">
      <c r="A182" s="8">
        <v>546</v>
      </c>
      <c r="B182" s="9" t="s">
        <v>352</v>
      </c>
      <c r="C182" s="9" t="s">
        <v>6</v>
      </c>
      <c r="D182" s="5">
        <v>0</v>
      </c>
      <c r="E182" s="4"/>
      <c r="F182" s="4"/>
      <c r="G182" s="4"/>
    </row>
    <row r="183" spans="1:7" ht="12.75" customHeight="1" x14ac:dyDescent="0.25">
      <c r="A183" s="8">
        <v>551</v>
      </c>
      <c r="B183" s="9" t="s">
        <v>356</v>
      </c>
      <c r="C183" s="9" t="s">
        <v>6</v>
      </c>
      <c r="D183" s="5">
        <v>0</v>
      </c>
      <c r="E183" s="4"/>
      <c r="F183" s="4"/>
      <c r="G183" s="4"/>
    </row>
    <row r="184" spans="1:7" ht="12.75" customHeight="1" x14ac:dyDescent="0.25">
      <c r="A184" s="8">
        <v>552</v>
      </c>
      <c r="B184" s="9" t="s">
        <v>283</v>
      </c>
      <c r="C184" s="9" t="s">
        <v>6</v>
      </c>
      <c r="D184" s="5">
        <v>0</v>
      </c>
      <c r="E184" s="4"/>
      <c r="F184" s="4"/>
      <c r="G184" s="4"/>
    </row>
    <row r="185" spans="1:7" ht="12.75" customHeight="1" x14ac:dyDescent="0.25">
      <c r="A185" s="8">
        <v>556</v>
      </c>
      <c r="B185" s="9" t="s">
        <v>298</v>
      </c>
      <c r="C185" s="9" t="s">
        <v>6</v>
      </c>
      <c r="D185" s="5">
        <v>0</v>
      </c>
      <c r="E185" s="4"/>
      <c r="F185" s="4"/>
      <c r="G185" s="5">
        <v>0</v>
      </c>
    </row>
    <row r="186" spans="1:7" ht="12.75" customHeight="1" x14ac:dyDescent="0.25">
      <c r="A186" s="8">
        <v>557</v>
      </c>
      <c r="B186" s="9" t="s">
        <v>281</v>
      </c>
      <c r="C186" s="9" t="s">
        <v>6</v>
      </c>
      <c r="D186" s="5">
        <v>0</v>
      </c>
      <c r="E186" s="4"/>
      <c r="F186" s="4"/>
      <c r="G186" s="4"/>
    </row>
    <row r="187" spans="1:7" ht="12.75" customHeight="1" x14ac:dyDescent="0.25">
      <c r="A187" s="8">
        <v>558</v>
      </c>
      <c r="B187" s="9" t="s">
        <v>76</v>
      </c>
      <c r="C187" s="9" t="s">
        <v>6</v>
      </c>
      <c r="D187" s="5">
        <v>0</v>
      </c>
      <c r="E187" s="5">
        <v>0</v>
      </c>
      <c r="F187" s="5">
        <v>0</v>
      </c>
      <c r="G187" s="4"/>
    </row>
    <row r="188" spans="1:7" ht="12.75" customHeight="1" x14ac:dyDescent="0.25">
      <c r="A188" s="8">
        <v>560</v>
      </c>
      <c r="B188" s="9" t="s">
        <v>516</v>
      </c>
      <c r="C188" s="9" t="s">
        <v>6</v>
      </c>
      <c r="D188" s="4"/>
      <c r="E188" s="4"/>
      <c r="F188" s="4"/>
      <c r="G188" s="5">
        <v>0</v>
      </c>
    </row>
    <row r="189" spans="1:7" ht="12.75" customHeight="1" x14ac:dyDescent="0.25">
      <c r="A189" s="8">
        <v>561</v>
      </c>
      <c r="B189" s="9" t="s">
        <v>558</v>
      </c>
      <c r="C189" s="9" t="s">
        <v>6</v>
      </c>
      <c r="D189" s="5">
        <v>0</v>
      </c>
      <c r="E189" s="4"/>
      <c r="F189" s="4"/>
      <c r="G189" s="4"/>
    </row>
    <row r="190" spans="1:7" ht="12.75" customHeight="1" x14ac:dyDescent="0.25">
      <c r="A190" s="8">
        <v>562</v>
      </c>
      <c r="B190" s="9" t="s">
        <v>557</v>
      </c>
      <c r="C190" s="9" t="s">
        <v>6</v>
      </c>
      <c r="D190" s="5">
        <v>0</v>
      </c>
      <c r="E190" s="4"/>
      <c r="F190" s="4"/>
      <c r="G190" s="4"/>
    </row>
    <row r="191" spans="1:7" ht="12.75" customHeight="1" x14ac:dyDescent="0.25">
      <c r="A191" s="8">
        <v>570</v>
      </c>
      <c r="B191" s="9" t="s">
        <v>307</v>
      </c>
      <c r="C191" s="9" t="s">
        <v>6</v>
      </c>
      <c r="D191" s="5">
        <v>0</v>
      </c>
      <c r="E191" s="4"/>
      <c r="F191" s="4"/>
      <c r="G191" s="4"/>
    </row>
    <row r="192" spans="1:7" ht="12.75" customHeight="1" x14ac:dyDescent="0.25">
      <c r="A192" s="8">
        <v>572</v>
      </c>
      <c r="B192" s="9" t="s">
        <v>289</v>
      </c>
      <c r="C192" s="9" t="s">
        <v>6</v>
      </c>
      <c r="D192" s="4"/>
      <c r="E192" s="4"/>
      <c r="F192" s="4"/>
      <c r="G192" s="5">
        <v>0</v>
      </c>
    </row>
    <row r="193" spans="1:7" ht="12.75" customHeight="1" x14ac:dyDescent="0.25">
      <c r="A193" s="8">
        <v>574</v>
      </c>
      <c r="B193" s="9" t="s">
        <v>18</v>
      </c>
      <c r="C193" s="9" t="s">
        <v>6</v>
      </c>
      <c r="D193" s="5">
        <v>0</v>
      </c>
      <c r="E193" s="4"/>
      <c r="F193" s="5">
        <v>50</v>
      </c>
      <c r="G193" s="5">
        <v>1233</v>
      </c>
    </row>
    <row r="194" spans="1:7" ht="12.75" customHeight="1" x14ac:dyDescent="0.25">
      <c r="A194" s="8">
        <v>575</v>
      </c>
      <c r="B194" s="9" t="s">
        <v>294</v>
      </c>
      <c r="C194" s="9" t="s">
        <v>6</v>
      </c>
      <c r="D194" s="5">
        <v>0</v>
      </c>
      <c r="E194" s="4"/>
      <c r="F194" s="4"/>
      <c r="G194" s="5">
        <v>0</v>
      </c>
    </row>
    <row r="195" spans="1:7" ht="12.75" customHeight="1" x14ac:dyDescent="0.25">
      <c r="A195" s="8">
        <v>577</v>
      </c>
      <c r="B195" s="9" t="s">
        <v>311</v>
      </c>
      <c r="C195" s="9" t="s">
        <v>6</v>
      </c>
      <c r="D195" s="5">
        <v>0</v>
      </c>
      <c r="E195" s="4"/>
      <c r="F195" s="4"/>
      <c r="G195" s="4"/>
    </row>
    <row r="196" spans="1:7" ht="12.75" customHeight="1" x14ac:dyDescent="0.25">
      <c r="A196" s="8">
        <v>580</v>
      </c>
      <c r="B196" s="9" t="s">
        <v>5</v>
      </c>
      <c r="C196" s="9" t="s">
        <v>6</v>
      </c>
      <c r="D196" s="5">
        <v>0</v>
      </c>
      <c r="E196" s="5">
        <v>434</v>
      </c>
      <c r="F196" s="4"/>
      <c r="G196" s="5">
        <v>0</v>
      </c>
    </row>
    <row r="197" spans="1:7" ht="12.75" customHeight="1" x14ac:dyDescent="0.25">
      <c r="A197" s="8">
        <v>581</v>
      </c>
      <c r="B197" s="9" t="s">
        <v>527</v>
      </c>
      <c r="C197" s="9" t="s">
        <v>6</v>
      </c>
      <c r="D197" s="5">
        <v>0</v>
      </c>
      <c r="E197" s="5">
        <v>380</v>
      </c>
      <c r="F197" s="5">
        <v>2530</v>
      </c>
      <c r="G197" s="5">
        <v>0</v>
      </c>
    </row>
    <row r="198" spans="1:7" ht="12.75" customHeight="1" x14ac:dyDescent="0.25">
      <c r="A198" s="8">
        <v>582</v>
      </c>
      <c r="B198" s="9" t="s">
        <v>287</v>
      </c>
      <c r="C198" s="9" t="s">
        <v>6</v>
      </c>
      <c r="D198" s="5">
        <v>0</v>
      </c>
      <c r="E198" s="4"/>
      <c r="F198" s="4"/>
      <c r="G198" s="5">
        <v>0</v>
      </c>
    </row>
    <row r="199" spans="1:7" ht="12.75" customHeight="1" x14ac:dyDescent="0.25">
      <c r="A199" s="8">
        <v>583</v>
      </c>
      <c r="B199" s="9" t="s">
        <v>526</v>
      </c>
      <c r="C199" s="9" t="s">
        <v>6</v>
      </c>
      <c r="D199" s="5">
        <v>2480</v>
      </c>
      <c r="E199" s="5">
        <v>2490</v>
      </c>
      <c r="F199" s="4"/>
      <c r="G199" s="5">
        <v>0</v>
      </c>
    </row>
    <row r="200" spans="1:7" ht="12.75" customHeight="1" x14ac:dyDescent="0.25">
      <c r="A200" s="8">
        <v>584</v>
      </c>
      <c r="B200" s="9" t="s">
        <v>105</v>
      </c>
      <c r="C200" s="9" t="s">
        <v>6</v>
      </c>
      <c r="D200" s="5">
        <v>1271</v>
      </c>
      <c r="E200" s="5">
        <v>700</v>
      </c>
      <c r="F200" s="4"/>
      <c r="G200" s="5">
        <v>825</v>
      </c>
    </row>
    <row r="201" spans="1:7" ht="12.75" customHeight="1" x14ac:dyDescent="0.25">
      <c r="A201" s="8">
        <v>585</v>
      </c>
      <c r="B201" s="9" t="s">
        <v>263</v>
      </c>
      <c r="C201" s="9" t="s">
        <v>6</v>
      </c>
      <c r="D201" s="4"/>
      <c r="E201" s="4"/>
      <c r="F201" s="4"/>
      <c r="G201" s="5">
        <v>0</v>
      </c>
    </row>
    <row r="202" spans="1:7" ht="12.75" customHeight="1" x14ac:dyDescent="0.25">
      <c r="A202" s="8">
        <v>591</v>
      </c>
      <c r="B202" s="9" t="s">
        <v>353</v>
      </c>
      <c r="C202" s="9" t="s">
        <v>6</v>
      </c>
      <c r="D202" s="5">
        <v>250</v>
      </c>
      <c r="E202" s="4"/>
      <c r="F202" s="4"/>
      <c r="G202" s="5">
        <v>0</v>
      </c>
    </row>
    <row r="203" spans="1:7" ht="12.75" customHeight="1" x14ac:dyDescent="0.25">
      <c r="A203" s="8">
        <v>592</v>
      </c>
      <c r="B203" s="9" t="s">
        <v>126</v>
      </c>
      <c r="C203" s="9" t="s">
        <v>6</v>
      </c>
      <c r="D203" s="4"/>
      <c r="E203" s="5">
        <v>102</v>
      </c>
      <c r="F203" s="5">
        <v>400</v>
      </c>
      <c r="G203" s="5">
        <v>300</v>
      </c>
    </row>
    <row r="204" spans="1:7" ht="12.75" customHeight="1" x14ac:dyDescent="0.25">
      <c r="A204" s="8">
        <v>593</v>
      </c>
      <c r="B204" s="9" t="s">
        <v>337</v>
      </c>
      <c r="C204" s="9" t="s">
        <v>6</v>
      </c>
      <c r="D204" s="4"/>
      <c r="E204" s="4"/>
      <c r="F204" s="5">
        <v>150</v>
      </c>
      <c r="G204" s="5">
        <v>9000</v>
      </c>
    </row>
    <row r="205" spans="1:7" ht="12.75" customHeight="1" x14ac:dyDescent="0.25">
      <c r="A205" s="8">
        <v>595</v>
      </c>
      <c r="B205" s="9" t="s">
        <v>113</v>
      </c>
      <c r="C205" s="9" t="s">
        <v>6</v>
      </c>
      <c r="D205" s="5">
        <v>0</v>
      </c>
      <c r="E205" s="4"/>
      <c r="F205" s="5">
        <v>500</v>
      </c>
      <c r="G205" s="5">
        <v>3985</v>
      </c>
    </row>
    <row r="206" spans="1:7" ht="12.75" customHeight="1" x14ac:dyDescent="0.25">
      <c r="A206" s="8">
        <v>599</v>
      </c>
      <c r="B206" s="9" t="s">
        <v>306</v>
      </c>
      <c r="C206" s="9" t="s">
        <v>6</v>
      </c>
      <c r="D206" s="5">
        <v>1020</v>
      </c>
      <c r="E206" s="4"/>
      <c r="F206" s="4"/>
      <c r="G206" s="5">
        <v>0</v>
      </c>
    </row>
    <row r="207" spans="1:7" ht="12.75" customHeight="1" x14ac:dyDescent="0.25">
      <c r="A207" s="8">
        <v>603</v>
      </c>
      <c r="B207" s="9" t="s">
        <v>321</v>
      </c>
      <c r="C207" s="9" t="s">
        <v>6</v>
      </c>
      <c r="D207" s="4"/>
      <c r="E207" s="4"/>
      <c r="F207" s="4"/>
      <c r="G207" s="5">
        <v>0</v>
      </c>
    </row>
    <row r="208" spans="1:7" ht="12.75" customHeight="1" x14ac:dyDescent="0.25">
      <c r="A208" s="8">
        <v>604</v>
      </c>
      <c r="B208" s="9" t="s">
        <v>37</v>
      </c>
      <c r="C208" s="9" t="s">
        <v>22</v>
      </c>
      <c r="D208" s="4"/>
      <c r="E208" s="5">
        <v>10000</v>
      </c>
      <c r="F208" s="4"/>
      <c r="G208" s="4"/>
    </row>
    <row r="209" spans="1:7" ht="12.75" customHeight="1" x14ac:dyDescent="0.25">
      <c r="A209" s="8">
        <v>608</v>
      </c>
      <c r="B209" s="9" t="s">
        <v>190</v>
      </c>
      <c r="C209" s="9" t="s">
        <v>22</v>
      </c>
      <c r="D209" s="4"/>
      <c r="E209" s="5">
        <v>1200</v>
      </c>
      <c r="F209" s="4"/>
      <c r="G209" s="4"/>
    </row>
    <row r="210" spans="1:7" ht="12.75" customHeight="1" x14ac:dyDescent="0.25">
      <c r="A210" s="8">
        <v>609</v>
      </c>
      <c r="B210" s="9" t="s">
        <v>25</v>
      </c>
      <c r="C210" s="9" t="s">
        <v>22</v>
      </c>
      <c r="D210" s="4"/>
      <c r="E210" s="4"/>
      <c r="F210" s="5">
        <v>0</v>
      </c>
      <c r="G210" s="4"/>
    </row>
    <row r="211" spans="1:7" ht="12.75" customHeight="1" x14ac:dyDescent="0.25">
      <c r="A211" s="8">
        <v>610</v>
      </c>
      <c r="B211" s="9" t="s">
        <v>376</v>
      </c>
      <c r="C211" s="9" t="s">
        <v>22</v>
      </c>
      <c r="D211" s="4"/>
      <c r="E211" s="4"/>
      <c r="F211" s="5">
        <v>0</v>
      </c>
      <c r="G211" s="4"/>
    </row>
    <row r="212" spans="1:7" ht="12.75" customHeight="1" x14ac:dyDescent="0.25">
      <c r="A212" s="8">
        <v>613</v>
      </c>
      <c r="B212" s="9" t="s">
        <v>184</v>
      </c>
      <c r="C212" s="9" t="s">
        <v>22</v>
      </c>
      <c r="D212" s="4"/>
      <c r="E212" s="5">
        <v>5200</v>
      </c>
      <c r="F212" s="4"/>
      <c r="G212" s="4"/>
    </row>
    <row r="213" spans="1:7" ht="12.75" customHeight="1" x14ac:dyDescent="0.25">
      <c r="A213" s="8">
        <v>620</v>
      </c>
      <c r="B213" s="9" t="s">
        <v>150</v>
      </c>
      <c r="C213" s="9" t="s">
        <v>22</v>
      </c>
      <c r="D213" s="4"/>
      <c r="E213" s="4"/>
      <c r="F213" s="5">
        <v>0</v>
      </c>
      <c r="G213" s="4"/>
    </row>
    <row r="214" spans="1:7" ht="12.75" customHeight="1" x14ac:dyDescent="0.25">
      <c r="A214" s="8">
        <v>622</v>
      </c>
      <c r="B214" s="9" t="s">
        <v>369</v>
      </c>
      <c r="C214" s="9" t="s">
        <v>22</v>
      </c>
      <c r="D214" s="4"/>
      <c r="E214" s="4"/>
      <c r="F214" s="5">
        <v>0</v>
      </c>
      <c r="G214" s="4"/>
    </row>
    <row r="215" spans="1:7" ht="12.75" customHeight="1" x14ac:dyDescent="0.25">
      <c r="A215" s="8">
        <v>623</v>
      </c>
      <c r="B215" s="9" t="s">
        <v>389</v>
      </c>
      <c r="C215" s="9" t="s">
        <v>22</v>
      </c>
      <c r="D215" s="4"/>
      <c r="E215" s="4"/>
      <c r="F215" s="5">
        <v>0</v>
      </c>
      <c r="G215" s="4"/>
    </row>
    <row r="216" spans="1:7" ht="12.75" customHeight="1" x14ac:dyDescent="0.25">
      <c r="A216" s="8">
        <v>629</v>
      </c>
      <c r="B216" s="9" t="s">
        <v>171</v>
      </c>
      <c r="C216" s="9" t="s">
        <v>22</v>
      </c>
      <c r="D216" s="4"/>
      <c r="E216" s="5">
        <v>437</v>
      </c>
      <c r="F216" s="4"/>
      <c r="G216" s="4"/>
    </row>
    <row r="217" spans="1:7" ht="12.75" customHeight="1" x14ac:dyDescent="0.25">
      <c r="A217" s="8">
        <v>631</v>
      </c>
      <c r="B217" s="9" t="s">
        <v>170</v>
      </c>
      <c r="C217" s="9" t="s">
        <v>22</v>
      </c>
      <c r="D217" s="5">
        <v>0</v>
      </c>
      <c r="E217" s="5">
        <v>12191</v>
      </c>
      <c r="F217" s="4"/>
      <c r="G217" s="4"/>
    </row>
    <row r="218" spans="1:7" ht="12.75" customHeight="1" x14ac:dyDescent="0.25">
      <c r="A218" s="8">
        <v>634</v>
      </c>
      <c r="B218" s="9" t="s">
        <v>48</v>
      </c>
      <c r="C218" s="9" t="s">
        <v>22</v>
      </c>
      <c r="D218" s="4"/>
      <c r="E218" s="5">
        <v>450</v>
      </c>
      <c r="F218" s="4"/>
      <c r="G218" s="4"/>
    </row>
    <row r="219" spans="1:7" ht="12.75" customHeight="1" x14ac:dyDescent="0.25">
      <c r="A219" s="8">
        <v>644</v>
      </c>
      <c r="B219" s="9" t="s">
        <v>536</v>
      </c>
      <c r="C219" s="9" t="s">
        <v>6</v>
      </c>
      <c r="D219" s="5">
        <v>0</v>
      </c>
      <c r="E219" s="4"/>
      <c r="F219" s="4"/>
      <c r="G219" s="5">
        <v>0</v>
      </c>
    </row>
    <row r="220" spans="1:7" ht="12.75" customHeight="1" x14ac:dyDescent="0.25">
      <c r="A220" s="8">
        <v>645</v>
      </c>
      <c r="B220" s="9" t="s">
        <v>363</v>
      </c>
      <c r="C220" s="9" t="s">
        <v>22</v>
      </c>
      <c r="D220" s="5">
        <v>0</v>
      </c>
      <c r="E220" s="4"/>
      <c r="F220" s="4"/>
      <c r="G220" s="4"/>
    </row>
    <row r="221" spans="1:7" ht="12.75" customHeight="1" x14ac:dyDescent="0.25">
      <c r="A221" s="8">
        <v>647</v>
      </c>
      <c r="B221" s="9" t="s">
        <v>147</v>
      </c>
      <c r="C221" s="9" t="s">
        <v>22</v>
      </c>
      <c r="D221" s="4"/>
      <c r="E221" s="5">
        <v>4800</v>
      </c>
      <c r="F221" s="4"/>
      <c r="G221" s="4"/>
    </row>
    <row r="222" spans="1:7" ht="12.75" customHeight="1" x14ac:dyDescent="0.25">
      <c r="A222" s="8">
        <v>652</v>
      </c>
      <c r="B222" s="9" t="s">
        <v>477</v>
      </c>
      <c r="C222" s="9" t="s">
        <v>6</v>
      </c>
      <c r="D222" s="5">
        <v>0</v>
      </c>
      <c r="E222" s="5">
        <v>0</v>
      </c>
      <c r="F222" s="4"/>
      <c r="G222" s="4"/>
    </row>
    <row r="223" spans="1:7" ht="12.75" customHeight="1" x14ac:dyDescent="0.25">
      <c r="A223" s="8">
        <v>653</v>
      </c>
      <c r="B223" s="9" t="s">
        <v>442</v>
      </c>
      <c r="C223" s="9" t="s">
        <v>6</v>
      </c>
      <c r="D223" s="5">
        <v>0</v>
      </c>
      <c r="E223" s="5">
        <v>0</v>
      </c>
      <c r="F223" s="5">
        <v>0</v>
      </c>
      <c r="G223" s="4"/>
    </row>
    <row r="224" spans="1:7" ht="12.75" customHeight="1" x14ac:dyDescent="0.25">
      <c r="A224" s="8">
        <v>654</v>
      </c>
      <c r="B224" s="9" t="s">
        <v>481</v>
      </c>
      <c r="C224" s="9" t="s">
        <v>6</v>
      </c>
      <c r="D224" s="5">
        <v>0</v>
      </c>
      <c r="E224" s="5">
        <v>0</v>
      </c>
      <c r="F224" s="5">
        <v>0</v>
      </c>
      <c r="G224" s="4"/>
    </row>
    <row r="225" spans="1:7" ht="12.75" customHeight="1" x14ac:dyDescent="0.25">
      <c r="A225" s="8">
        <v>655</v>
      </c>
      <c r="B225" s="9" t="s">
        <v>446</v>
      </c>
      <c r="C225" s="9" t="s">
        <v>6</v>
      </c>
      <c r="D225" s="5">
        <v>0</v>
      </c>
      <c r="E225" s="5">
        <v>0</v>
      </c>
      <c r="F225" s="5">
        <v>0</v>
      </c>
      <c r="G225" s="4"/>
    </row>
    <row r="226" spans="1:7" ht="12.75" customHeight="1" x14ac:dyDescent="0.25">
      <c r="A226" s="8">
        <v>656</v>
      </c>
      <c r="B226" s="9" t="s">
        <v>445</v>
      </c>
      <c r="C226" s="9" t="s">
        <v>6</v>
      </c>
      <c r="D226" s="5">
        <v>0</v>
      </c>
      <c r="E226" s="5">
        <v>0</v>
      </c>
      <c r="F226" s="5">
        <v>0</v>
      </c>
      <c r="G226" s="4"/>
    </row>
    <row r="227" spans="1:7" ht="12.75" customHeight="1" x14ac:dyDescent="0.25">
      <c r="A227" s="8">
        <v>657</v>
      </c>
      <c r="B227" s="9" t="s">
        <v>444</v>
      </c>
      <c r="C227" s="9" t="s">
        <v>6</v>
      </c>
      <c r="D227" s="5">
        <v>0</v>
      </c>
      <c r="E227" s="5">
        <v>0</v>
      </c>
      <c r="F227" s="5">
        <v>0</v>
      </c>
      <c r="G227" s="4"/>
    </row>
    <row r="228" spans="1:7" ht="12.75" customHeight="1" x14ac:dyDescent="0.25">
      <c r="A228" s="8">
        <v>658</v>
      </c>
      <c r="B228" s="9" t="s">
        <v>448</v>
      </c>
      <c r="C228" s="9" t="s">
        <v>6</v>
      </c>
      <c r="D228" s="5">
        <v>0</v>
      </c>
      <c r="E228" s="5">
        <v>0</v>
      </c>
      <c r="F228" s="5">
        <v>0</v>
      </c>
      <c r="G228" s="4"/>
    </row>
    <row r="229" spans="1:7" ht="12.75" customHeight="1" x14ac:dyDescent="0.25">
      <c r="A229" s="8">
        <v>660</v>
      </c>
      <c r="B229" s="9" t="s">
        <v>480</v>
      </c>
      <c r="C229" s="9" t="s">
        <v>6</v>
      </c>
      <c r="D229" s="5">
        <v>0</v>
      </c>
      <c r="E229" s="5">
        <v>0</v>
      </c>
      <c r="F229" s="5">
        <v>0</v>
      </c>
      <c r="G229" s="4"/>
    </row>
    <row r="230" spans="1:7" ht="12.75" customHeight="1" x14ac:dyDescent="0.25">
      <c r="A230" s="8">
        <v>661</v>
      </c>
      <c r="B230" s="9" t="s">
        <v>434</v>
      </c>
      <c r="C230" s="9" t="s">
        <v>6</v>
      </c>
      <c r="D230" s="5">
        <v>0</v>
      </c>
      <c r="E230" s="5">
        <v>0</v>
      </c>
      <c r="F230" s="5">
        <v>0</v>
      </c>
      <c r="G230" s="4"/>
    </row>
    <row r="231" spans="1:7" ht="12.75" customHeight="1" x14ac:dyDescent="0.25">
      <c r="A231" s="8">
        <v>662</v>
      </c>
      <c r="B231" s="9" t="s">
        <v>424</v>
      </c>
      <c r="C231" s="9" t="s">
        <v>6</v>
      </c>
      <c r="D231" s="5">
        <v>0</v>
      </c>
      <c r="E231" s="5">
        <v>0</v>
      </c>
      <c r="F231" s="5">
        <v>0</v>
      </c>
      <c r="G231" s="4"/>
    </row>
    <row r="232" spans="1:7" ht="12.75" customHeight="1" x14ac:dyDescent="0.25">
      <c r="A232" s="8">
        <v>663</v>
      </c>
      <c r="B232" s="9" t="s">
        <v>426</v>
      </c>
      <c r="C232" s="9" t="s">
        <v>6</v>
      </c>
      <c r="D232" s="4"/>
      <c r="E232" s="5">
        <v>0</v>
      </c>
      <c r="F232" s="5">
        <v>0</v>
      </c>
      <c r="G232" s="4"/>
    </row>
    <row r="233" spans="1:7" ht="12.75" customHeight="1" x14ac:dyDescent="0.25">
      <c r="A233" s="8">
        <v>664</v>
      </c>
      <c r="B233" s="9" t="s">
        <v>422</v>
      </c>
      <c r="C233" s="9" t="s">
        <v>6</v>
      </c>
      <c r="D233" s="5">
        <v>0</v>
      </c>
      <c r="E233" s="5">
        <v>0</v>
      </c>
      <c r="F233" s="5">
        <v>0</v>
      </c>
      <c r="G233" s="4"/>
    </row>
    <row r="234" spans="1:7" ht="12.75" customHeight="1" x14ac:dyDescent="0.25">
      <c r="A234" s="8">
        <v>665</v>
      </c>
      <c r="B234" s="9" t="s">
        <v>461</v>
      </c>
      <c r="C234" s="9" t="s">
        <v>6</v>
      </c>
      <c r="D234" s="5">
        <v>0</v>
      </c>
      <c r="E234" s="5">
        <v>0</v>
      </c>
      <c r="F234" s="5">
        <v>0</v>
      </c>
      <c r="G234" s="4"/>
    </row>
    <row r="235" spans="1:7" ht="12.75" customHeight="1" x14ac:dyDescent="0.25">
      <c r="A235" s="8">
        <v>666</v>
      </c>
      <c r="B235" s="9" t="s">
        <v>457</v>
      </c>
      <c r="C235" s="9" t="s">
        <v>6</v>
      </c>
      <c r="D235" s="5">
        <v>0</v>
      </c>
      <c r="E235" s="5">
        <v>0</v>
      </c>
      <c r="F235" s="5">
        <v>0</v>
      </c>
      <c r="G235" s="4"/>
    </row>
    <row r="236" spans="1:7" ht="12.75" customHeight="1" x14ac:dyDescent="0.25">
      <c r="A236" s="8">
        <v>667</v>
      </c>
      <c r="B236" s="9" t="s">
        <v>456</v>
      </c>
      <c r="C236" s="9" t="s">
        <v>6</v>
      </c>
      <c r="D236" s="5">
        <v>0</v>
      </c>
      <c r="E236" s="5">
        <v>0</v>
      </c>
      <c r="F236" s="5">
        <v>0</v>
      </c>
      <c r="G236" s="4"/>
    </row>
    <row r="237" spans="1:7" ht="12.75" customHeight="1" x14ac:dyDescent="0.25">
      <c r="A237" s="8">
        <v>668</v>
      </c>
      <c r="B237" s="9" t="s">
        <v>474</v>
      </c>
      <c r="C237" s="9" t="s">
        <v>6</v>
      </c>
      <c r="D237" s="5">
        <v>0</v>
      </c>
      <c r="E237" s="5">
        <v>0</v>
      </c>
      <c r="F237" s="5">
        <v>0</v>
      </c>
      <c r="G237" s="4"/>
    </row>
    <row r="238" spans="1:7" ht="12.75" customHeight="1" x14ac:dyDescent="0.25">
      <c r="A238" s="8">
        <v>669</v>
      </c>
      <c r="B238" s="9" t="s">
        <v>473</v>
      </c>
      <c r="C238" s="9" t="s">
        <v>6</v>
      </c>
      <c r="D238" s="5">
        <v>0</v>
      </c>
      <c r="E238" s="5">
        <v>0</v>
      </c>
      <c r="F238" s="5">
        <v>0</v>
      </c>
      <c r="G238" s="4"/>
    </row>
    <row r="239" spans="1:7" ht="12.75" customHeight="1" x14ac:dyDescent="0.25">
      <c r="A239" s="8">
        <v>670</v>
      </c>
      <c r="B239" s="9" t="s">
        <v>464</v>
      </c>
      <c r="C239" s="9" t="s">
        <v>6</v>
      </c>
      <c r="D239" s="5">
        <v>0</v>
      </c>
      <c r="E239" s="5">
        <v>0</v>
      </c>
      <c r="F239" s="4"/>
      <c r="G239" s="4"/>
    </row>
    <row r="240" spans="1:7" ht="12.75" customHeight="1" x14ac:dyDescent="0.25">
      <c r="A240" s="8">
        <v>671</v>
      </c>
      <c r="B240" s="9" t="s">
        <v>475</v>
      </c>
      <c r="C240" s="9" t="s">
        <v>6</v>
      </c>
      <c r="D240" s="5">
        <v>0</v>
      </c>
      <c r="E240" s="5">
        <v>0</v>
      </c>
      <c r="F240" s="5">
        <v>0</v>
      </c>
      <c r="G240" s="4"/>
    </row>
    <row r="241" spans="1:7" ht="12.75" customHeight="1" x14ac:dyDescent="0.25">
      <c r="A241" s="8">
        <v>672</v>
      </c>
      <c r="B241" s="9" t="s">
        <v>463</v>
      </c>
      <c r="C241" s="9" t="s">
        <v>6</v>
      </c>
      <c r="D241" s="4"/>
      <c r="E241" s="5">
        <v>0</v>
      </c>
      <c r="F241" s="5">
        <v>0</v>
      </c>
      <c r="G241" s="4"/>
    </row>
    <row r="242" spans="1:7" ht="12.75" customHeight="1" x14ac:dyDescent="0.25">
      <c r="A242" s="8">
        <v>673</v>
      </c>
      <c r="B242" s="9" t="s">
        <v>458</v>
      </c>
      <c r="C242" s="9" t="s">
        <v>6</v>
      </c>
      <c r="D242" s="5">
        <v>0</v>
      </c>
      <c r="E242" s="5">
        <v>0</v>
      </c>
      <c r="F242" s="5">
        <v>0</v>
      </c>
      <c r="G242" s="4"/>
    </row>
    <row r="243" spans="1:7" ht="12.75" customHeight="1" x14ac:dyDescent="0.25">
      <c r="A243" s="8">
        <v>674</v>
      </c>
      <c r="B243" s="9" t="s">
        <v>459</v>
      </c>
      <c r="C243" s="9" t="s">
        <v>6</v>
      </c>
      <c r="D243" s="5">
        <v>0</v>
      </c>
      <c r="E243" s="5">
        <v>0</v>
      </c>
      <c r="F243" s="5">
        <v>0</v>
      </c>
      <c r="G243" s="4"/>
    </row>
    <row r="244" spans="1:7" ht="12.75" customHeight="1" x14ac:dyDescent="0.25">
      <c r="A244" s="8">
        <v>675</v>
      </c>
      <c r="B244" s="9" t="s">
        <v>439</v>
      </c>
      <c r="C244" s="9" t="s">
        <v>6</v>
      </c>
      <c r="D244" s="5">
        <v>0</v>
      </c>
      <c r="E244" s="5">
        <v>0</v>
      </c>
      <c r="F244" s="5">
        <v>0</v>
      </c>
      <c r="G244" s="4"/>
    </row>
    <row r="245" spans="1:7" ht="12.75" customHeight="1" x14ac:dyDescent="0.25">
      <c r="A245" s="8">
        <v>677</v>
      </c>
      <c r="B245" s="9" t="s">
        <v>466</v>
      </c>
      <c r="C245" s="9" t="s">
        <v>6</v>
      </c>
      <c r="D245" s="5">
        <v>0</v>
      </c>
      <c r="E245" s="5">
        <v>0</v>
      </c>
      <c r="F245" s="5">
        <v>0</v>
      </c>
      <c r="G245" s="4"/>
    </row>
    <row r="246" spans="1:7" ht="12.75" customHeight="1" x14ac:dyDescent="0.25">
      <c r="A246" s="8">
        <v>678</v>
      </c>
      <c r="B246" s="9" t="s">
        <v>467</v>
      </c>
      <c r="C246" s="9" t="s">
        <v>6</v>
      </c>
      <c r="D246" s="5">
        <v>0</v>
      </c>
      <c r="E246" s="5">
        <v>0</v>
      </c>
      <c r="F246" s="5">
        <v>0</v>
      </c>
      <c r="G246" s="4"/>
    </row>
    <row r="247" spans="1:7" ht="12.75" customHeight="1" x14ac:dyDescent="0.25">
      <c r="A247" s="8">
        <v>679</v>
      </c>
      <c r="B247" s="9" t="s">
        <v>468</v>
      </c>
      <c r="C247" s="9" t="s">
        <v>6</v>
      </c>
      <c r="D247" s="5">
        <v>0</v>
      </c>
      <c r="E247" s="5">
        <v>0</v>
      </c>
      <c r="F247" s="5">
        <v>0</v>
      </c>
      <c r="G247" s="4"/>
    </row>
    <row r="248" spans="1:7" ht="12.75" customHeight="1" x14ac:dyDescent="0.25">
      <c r="A248" s="8">
        <v>680</v>
      </c>
      <c r="B248" s="9" t="s">
        <v>465</v>
      </c>
      <c r="C248" s="9" t="s">
        <v>6</v>
      </c>
      <c r="D248" s="5">
        <v>0</v>
      </c>
      <c r="E248" s="5">
        <v>0</v>
      </c>
      <c r="F248" s="5">
        <v>0</v>
      </c>
      <c r="G248" s="4"/>
    </row>
    <row r="249" spans="1:7" ht="12.75" customHeight="1" x14ac:dyDescent="0.25">
      <c r="A249" s="8">
        <v>681</v>
      </c>
      <c r="B249" s="9" t="s">
        <v>432</v>
      </c>
      <c r="C249" s="9" t="s">
        <v>6</v>
      </c>
      <c r="D249" s="5">
        <v>0</v>
      </c>
      <c r="E249" s="5">
        <v>0</v>
      </c>
      <c r="F249" s="5">
        <v>0</v>
      </c>
      <c r="G249" s="4"/>
    </row>
    <row r="250" spans="1:7" ht="12.75" customHeight="1" x14ac:dyDescent="0.25">
      <c r="A250" s="8">
        <v>682</v>
      </c>
      <c r="B250" s="9" t="s">
        <v>478</v>
      </c>
      <c r="C250" s="9" t="s">
        <v>6</v>
      </c>
      <c r="D250" s="5">
        <v>0</v>
      </c>
      <c r="E250" s="5">
        <v>0</v>
      </c>
      <c r="F250" s="5">
        <v>0</v>
      </c>
      <c r="G250" s="4"/>
    </row>
    <row r="251" spans="1:7" ht="12.75" customHeight="1" x14ac:dyDescent="0.25">
      <c r="A251" s="8">
        <v>683</v>
      </c>
      <c r="B251" s="9" t="s">
        <v>438</v>
      </c>
      <c r="C251" s="9" t="s">
        <v>6</v>
      </c>
      <c r="D251" s="5">
        <v>0</v>
      </c>
      <c r="E251" s="5">
        <v>0</v>
      </c>
      <c r="F251" s="5">
        <v>0</v>
      </c>
      <c r="G251" s="4"/>
    </row>
    <row r="252" spans="1:7" ht="12.75" customHeight="1" x14ac:dyDescent="0.25">
      <c r="A252" s="8">
        <v>684</v>
      </c>
      <c r="B252" s="9" t="s">
        <v>462</v>
      </c>
      <c r="C252" s="9" t="s">
        <v>6</v>
      </c>
      <c r="D252" s="4"/>
      <c r="E252" s="5">
        <v>0</v>
      </c>
      <c r="F252" s="5">
        <v>0</v>
      </c>
      <c r="G252" s="4"/>
    </row>
    <row r="253" spans="1:7" ht="12.75" customHeight="1" x14ac:dyDescent="0.25">
      <c r="A253" s="8">
        <v>685</v>
      </c>
      <c r="B253" s="9" t="s">
        <v>471</v>
      </c>
      <c r="C253" s="9" t="s">
        <v>6</v>
      </c>
      <c r="D253" s="4"/>
      <c r="E253" s="5">
        <v>0</v>
      </c>
      <c r="F253" s="5">
        <v>0</v>
      </c>
      <c r="G253" s="4"/>
    </row>
    <row r="254" spans="1:7" ht="12.75" customHeight="1" x14ac:dyDescent="0.25">
      <c r="A254" s="8">
        <v>686</v>
      </c>
      <c r="B254" s="9" t="s">
        <v>450</v>
      </c>
      <c r="C254" s="9" t="s">
        <v>6</v>
      </c>
      <c r="D254" s="5">
        <v>0</v>
      </c>
      <c r="E254" s="5">
        <v>0</v>
      </c>
      <c r="F254" s="5">
        <v>0</v>
      </c>
      <c r="G254" s="4"/>
    </row>
    <row r="255" spans="1:7" ht="12.75" customHeight="1" x14ac:dyDescent="0.25">
      <c r="A255" s="8">
        <v>687</v>
      </c>
      <c r="B255" s="9" t="s">
        <v>451</v>
      </c>
      <c r="C255" s="9" t="s">
        <v>6</v>
      </c>
      <c r="D255" s="5">
        <v>0</v>
      </c>
      <c r="E255" s="5">
        <v>0</v>
      </c>
      <c r="F255" s="5">
        <v>0</v>
      </c>
      <c r="G255" s="4"/>
    </row>
    <row r="256" spans="1:7" ht="12.75" customHeight="1" x14ac:dyDescent="0.25">
      <c r="A256" s="8">
        <v>689</v>
      </c>
      <c r="B256" s="9" t="s">
        <v>469</v>
      </c>
      <c r="C256" s="9" t="s">
        <v>6</v>
      </c>
      <c r="D256" s="5">
        <v>0</v>
      </c>
      <c r="E256" s="5">
        <v>0</v>
      </c>
      <c r="F256" s="5">
        <v>0</v>
      </c>
      <c r="G256" s="4"/>
    </row>
    <row r="257" spans="1:7" ht="12.75" customHeight="1" x14ac:dyDescent="0.25">
      <c r="A257" s="8">
        <v>691</v>
      </c>
      <c r="B257" s="9" t="s">
        <v>428</v>
      </c>
      <c r="C257" s="9" t="s">
        <v>6</v>
      </c>
      <c r="D257" s="5">
        <v>0</v>
      </c>
      <c r="E257" s="5">
        <v>0</v>
      </c>
      <c r="F257" s="5">
        <v>0</v>
      </c>
      <c r="G257" s="4"/>
    </row>
    <row r="258" spans="1:7" ht="12.75" customHeight="1" x14ac:dyDescent="0.25">
      <c r="A258" s="8">
        <v>692</v>
      </c>
      <c r="B258" s="9" t="s">
        <v>472</v>
      </c>
      <c r="C258" s="9" t="s">
        <v>6</v>
      </c>
      <c r="D258" s="5">
        <v>0</v>
      </c>
      <c r="E258" s="5">
        <v>0</v>
      </c>
      <c r="F258" s="5">
        <v>0</v>
      </c>
      <c r="G258" s="4"/>
    </row>
    <row r="259" spans="1:7" ht="12.75" customHeight="1" x14ac:dyDescent="0.25">
      <c r="A259" s="8">
        <v>693</v>
      </c>
      <c r="B259" s="9" t="s">
        <v>429</v>
      </c>
      <c r="C259" s="9" t="s">
        <v>6</v>
      </c>
      <c r="D259" s="5">
        <v>0</v>
      </c>
      <c r="E259" s="5">
        <v>0</v>
      </c>
      <c r="F259" s="5">
        <v>0</v>
      </c>
      <c r="G259" s="4"/>
    </row>
    <row r="260" spans="1:7" ht="12.75" customHeight="1" x14ac:dyDescent="0.25">
      <c r="A260" s="8">
        <v>694</v>
      </c>
      <c r="B260" s="9" t="s">
        <v>430</v>
      </c>
      <c r="C260" s="9" t="s">
        <v>6</v>
      </c>
      <c r="D260" s="5">
        <v>0</v>
      </c>
      <c r="E260" s="5">
        <v>0</v>
      </c>
      <c r="F260" s="5">
        <v>0</v>
      </c>
      <c r="G260" s="4"/>
    </row>
    <row r="261" spans="1:7" ht="12.75" customHeight="1" x14ac:dyDescent="0.25">
      <c r="A261" s="8">
        <v>695</v>
      </c>
      <c r="B261" s="9" t="s">
        <v>431</v>
      </c>
      <c r="C261" s="9" t="s">
        <v>6</v>
      </c>
      <c r="D261" s="5">
        <v>0</v>
      </c>
      <c r="E261" s="5">
        <v>0</v>
      </c>
      <c r="F261" s="5">
        <v>0</v>
      </c>
      <c r="G261" s="4"/>
    </row>
    <row r="262" spans="1:7" ht="12.75" customHeight="1" x14ac:dyDescent="0.25">
      <c r="A262" s="8">
        <v>696</v>
      </c>
      <c r="B262" s="9" t="s">
        <v>482</v>
      </c>
      <c r="C262" s="9" t="s">
        <v>6</v>
      </c>
      <c r="D262" s="5">
        <v>0</v>
      </c>
      <c r="E262" s="5">
        <v>0</v>
      </c>
      <c r="F262" s="5">
        <v>0</v>
      </c>
      <c r="G262" s="4"/>
    </row>
    <row r="263" spans="1:7" ht="12.75" customHeight="1" x14ac:dyDescent="0.25">
      <c r="A263" s="8">
        <v>697</v>
      </c>
      <c r="B263" s="9" t="s">
        <v>440</v>
      </c>
      <c r="C263" s="9" t="s">
        <v>6</v>
      </c>
      <c r="D263" s="5">
        <v>0</v>
      </c>
      <c r="E263" s="5">
        <v>0</v>
      </c>
      <c r="F263" s="5">
        <v>0</v>
      </c>
      <c r="G263" s="4"/>
    </row>
    <row r="264" spans="1:7" ht="12.75" customHeight="1" x14ac:dyDescent="0.25">
      <c r="A264" s="8">
        <v>698</v>
      </c>
      <c r="B264" s="9" t="s">
        <v>241</v>
      </c>
      <c r="C264" s="9" t="s">
        <v>6</v>
      </c>
      <c r="D264" s="5">
        <v>0</v>
      </c>
      <c r="E264" s="5">
        <v>0</v>
      </c>
      <c r="F264" s="5">
        <v>0</v>
      </c>
      <c r="G264" s="4"/>
    </row>
    <row r="265" spans="1:7" ht="12.75" customHeight="1" x14ac:dyDescent="0.25">
      <c r="A265" s="8">
        <v>699</v>
      </c>
      <c r="B265" s="9" t="s">
        <v>476</v>
      </c>
      <c r="C265" s="9" t="s">
        <v>6</v>
      </c>
      <c r="D265" s="5">
        <v>0</v>
      </c>
      <c r="E265" s="5">
        <v>0</v>
      </c>
      <c r="F265" s="5">
        <v>0</v>
      </c>
      <c r="G265" s="4"/>
    </row>
    <row r="266" spans="1:7" ht="12.75" customHeight="1" x14ac:dyDescent="0.25">
      <c r="A266" s="8">
        <v>700</v>
      </c>
      <c r="B266" s="9" t="s">
        <v>470</v>
      </c>
      <c r="C266" s="9" t="s">
        <v>6</v>
      </c>
      <c r="D266" s="5">
        <v>0</v>
      </c>
      <c r="E266" s="5">
        <v>0</v>
      </c>
      <c r="F266" s="5">
        <v>0</v>
      </c>
      <c r="G266" s="4"/>
    </row>
    <row r="267" spans="1:7" ht="12.75" customHeight="1" x14ac:dyDescent="0.25">
      <c r="A267" s="8">
        <v>701</v>
      </c>
      <c r="B267" s="9" t="s">
        <v>427</v>
      </c>
      <c r="C267" s="9" t="s">
        <v>6</v>
      </c>
      <c r="D267" s="5">
        <v>0</v>
      </c>
      <c r="E267" s="5">
        <v>0</v>
      </c>
      <c r="F267" s="5">
        <v>0</v>
      </c>
      <c r="G267" s="4"/>
    </row>
    <row r="268" spans="1:7" ht="12.75" customHeight="1" x14ac:dyDescent="0.25">
      <c r="A268" s="8">
        <v>702</v>
      </c>
      <c r="B268" s="9" t="s">
        <v>436</v>
      </c>
      <c r="C268" s="9" t="s">
        <v>6</v>
      </c>
      <c r="D268" s="5">
        <v>0</v>
      </c>
      <c r="E268" s="5">
        <v>0</v>
      </c>
      <c r="F268" s="5">
        <v>0</v>
      </c>
      <c r="G268" s="4"/>
    </row>
    <row r="269" spans="1:7" ht="12.75" customHeight="1" x14ac:dyDescent="0.25">
      <c r="A269" s="8">
        <v>711</v>
      </c>
      <c r="B269" s="9" t="s">
        <v>293</v>
      </c>
      <c r="C269" s="9" t="s">
        <v>6</v>
      </c>
      <c r="D269" s="4"/>
      <c r="E269" s="5">
        <v>500</v>
      </c>
      <c r="F269" s="4"/>
      <c r="G269" s="5">
        <v>4500</v>
      </c>
    </row>
    <row r="270" spans="1:7" ht="12.75" customHeight="1" x14ac:dyDescent="0.25">
      <c r="A270" s="8">
        <v>712</v>
      </c>
      <c r="B270" s="9" t="s">
        <v>265</v>
      </c>
      <c r="C270" s="9" t="s">
        <v>6</v>
      </c>
      <c r="D270" s="5">
        <v>0</v>
      </c>
      <c r="E270" s="4"/>
      <c r="F270" s="4"/>
      <c r="G270" s="5">
        <v>0</v>
      </c>
    </row>
    <row r="271" spans="1:7" ht="12.75" customHeight="1" x14ac:dyDescent="0.25">
      <c r="A271" s="8">
        <v>713</v>
      </c>
      <c r="B271" s="9" t="s">
        <v>133</v>
      </c>
      <c r="C271" s="9" t="s">
        <v>6</v>
      </c>
      <c r="D271" s="5">
        <v>10607</v>
      </c>
      <c r="E271" s="4"/>
      <c r="F271" s="4"/>
      <c r="G271" s="4"/>
    </row>
    <row r="272" spans="1:7" ht="12.75" customHeight="1" x14ac:dyDescent="0.25">
      <c r="A272" s="8">
        <v>714</v>
      </c>
      <c r="B272" s="9" t="s">
        <v>339</v>
      </c>
      <c r="C272" s="9" t="s">
        <v>6</v>
      </c>
      <c r="D272" s="5">
        <v>0</v>
      </c>
      <c r="E272" s="4"/>
      <c r="F272" s="4"/>
      <c r="G272" s="5">
        <v>0</v>
      </c>
    </row>
    <row r="273" spans="1:7" ht="12.75" customHeight="1" x14ac:dyDescent="0.25">
      <c r="A273" s="8">
        <v>715</v>
      </c>
      <c r="B273" s="9" t="s">
        <v>122</v>
      </c>
      <c r="C273" s="9" t="s">
        <v>6</v>
      </c>
      <c r="D273" s="5">
        <v>0</v>
      </c>
      <c r="E273" s="4"/>
      <c r="F273" s="4"/>
      <c r="G273" s="5">
        <v>50</v>
      </c>
    </row>
    <row r="274" spans="1:7" ht="12.75" customHeight="1" x14ac:dyDescent="0.25">
      <c r="A274" s="8">
        <v>719</v>
      </c>
      <c r="B274" s="9" t="s">
        <v>301</v>
      </c>
      <c r="C274" s="9" t="s">
        <v>6</v>
      </c>
      <c r="D274" s="5">
        <v>0</v>
      </c>
      <c r="E274" s="4"/>
      <c r="F274" s="4"/>
      <c r="G274" s="5">
        <v>500</v>
      </c>
    </row>
    <row r="275" spans="1:7" ht="12.75" customHeight="1" x14ac:dyDescent="0.25">
      <c r="A275" s="8">
        <v>730</v>
      </c>
      <c r="B275" s="9" t="s">
        <v>242</v>
      </c>
      <c r="C275" s="9" t="s">
        <v>6</v>
      </c>
      <c r="D275" s="4"/>
      <c r="E275" s="4"/>
      <c r="F275" s="4"/>
      <c r="G275" s="5">
        <v>1</v>
      </c>
    </row>
    <row r="276" spans="1:7" ht="12.75" customHeight="1" x14ac:dyDescent="0.25">
      <c r="A276" s="8">
        <v>741</v>
      </c>
      <c r="B276" s="9" t="s">
        <v>483</v>
      </c>
      <c r="C276" s="9" t="s">
        <v>6</v>
      </c>
      <c r="D276" s="4"/>
      <c r="E276" s="4"/>
      <c r="F276" s="4"/>
      <c r="G276" s="5">
        <v>0</v>
      </c>
    </row>
    <row r="277" spans="1:7" ht="12.75" customHeight="1" x14ac:dyDescent="0.25">
      <c r="A277" s="8">
        <v>745</v>
      </c>
      <c r="B277" s="9" t="s">
        <v>310</v>
      </c>
      <c r="C277" s="9" t="s">
        <v>6</v>
      </c>
      <c r="D277" s="5">
        <v>700</v>
      </c>
      <c r="E277" s="5">
        <v>500</v>
      </c>
      <c r="F277" s="4"/>
      <c r="G277" s="4"/>
    </row>
    <row r="278" spans="1:7" ht="12.75" customHeight="1" x14ac:dyDescent="0.25">
      <c r="A278" s="8">
        <v>746</v>
      </c>
      <c r="B278" s="9" t="s">
        <v>493</v>
      </c>
      <c r="C278" s="9" t="s">
        <v>6</v>
      </c>
      <c r="D278" s="5">
        <v>0</v>
      </c>
      <c r="E278" s="4"/>
      <c r="F278" s="4"/>
      <c r="G278" s="4"/>
    </row>
    <row r="279" spans="1:7" ht="12.75" customHeight="1" x14ac:dyDescent="0.25">
      <c r="A279" s="8">
        <v>749</v>
      </c>
      <c r="B279" s="9" t="s">
        <v>141</v>
      </c>
      <c r="C279" s="9" t="s">
        <v>22</v>
      </c>
      <c r="D279" s="5">
        <v>0</v>
      </c>
      <c r="E279" s="4"/>
      <c r="F279" s="4"/>
      <c r="G279" s="4"/>
    </row>
    <row r="280" spans="1:7" ht="12.75" customHeight="1" x14ac:dyDescent="0.25">
      <c r="A280" s="8">
        <v>750</v>
      </c>
      <c r="B280" s="9" t="s">
        <v>585</v>
      </c>
      <c r="C280" s="9" t="s">
        <v>22</v>
      </c>
      <c r="D280" s="5">
        <v>0</v>
      </c>
      <c r="E280" s="4"/>
      <c r="F280" s="4"/>
      <c r="G280" s="4"/>
    </row>
    <row r="281" spans="1:7" ht="12.75" customHeight="1" x14ac:dyDescent="0.25">
      <c r="A281" s="8">
        <v>754</v>
      </c>
      <c r="B281" s="9" t="s">
        <v>252</v>
      </c>
      <c r="C281" s="9" t="s">
        <v>6</v>
      </c>
      <c r="D281" s="5">
        <v>0</v>
      </c>
      <c r="E281" s="4"/>
      <c r="F281" s="4"/>
      <c r="G281" s="5">
        <v>0</v>
      </c>
    </row>
    <row r="282" spans="1:7" ht="12.75" customHeight="1" x14ac:dyDescent="0.25">
      <c r="A282" s="8">
        <v>765</v>
      </c>
      <c r="B282" s="9" t="s">
        <v>236</v>
      </c>
      <c r="C282" s="9" t="s">
        <v>67</v>
      </c>
      <c r="D282" s="4"/>
      <c r="E282" s="5">
        <v>4300</v>
      </c>
      <c r="F282" s="4"/>
      <c r="G282" s="4"/>
    </row>
    <row r="283" spans="1:7" ht="12.75" customHeight="1" x14ac:dyDescent="0.25">
      <c r="A283" s="8">
        <v>769</v>
      </c>
      <c r="B283" s="9" t="s">
        <v>60</v>
      </c>
      <c r="C283" s="9" t="s">
        <v>22</v>
      </c>
      <c r="D283" s="4"/>
      <c r="E283" s="5">
        <v>16500</v>
      </c>
      <c r="F283" s="4"/>
      <c r="G283" s="4"/>
    </row>
    <row r="284" spans="1:7" ht="12.75" customHeight="1" x14ac:dyDescent="0.25">
      <c r="A284" s="8">
        <v>772</v>
      </c>
      <c r="B284" s="9" t="s">
        <v>79</v>
      </c>
      <c r="C284" s="9" t="s">
        <v>6</v>
      </c>
      <c r="D284" s="4"/>
      <c r="E284" s="4"/>
      <c r="F284" s="4"/>
      <c r="G284" s="5">
        <v>0</v>
      </c>
    </row>
    <row r="285" spans="1:7" ht="12.75" customHeight="1" x14ac:dyDescent="0.25">
      <c r="A285" s="8">
        <v>773</v>
      </c>
      <c r="B285" s="9" t="s">
        <v>491</v>
      </c>
      <c r="C285" s="9" t="s">
        <v>6</v>
      </c>
      <c r="D285" s="5">
        <v>0</v>
      </c>
      <c r="E285" s="4"/>
      <c r="F285" s="4"/>
      <c r="G285" s="5">
        <v>0</v>
      </c>
    </row>
    <row r="286" spans="1:7" ht="12.75" customHeight="1" x14ac:dyDescent="0.25">
      <c r="A286" s="8">
        <v>775</v>
      </c>
      <c r="B286" s="9" t="s">
        <v>362</v>
      </c>
      <c r="C286" s="9" t="s">
        <v>6</v>
      </c>
      <c r="D286" s="5">
        <v>0</v>
      </c>
      <c r="E286" s="4"/>
      <c r="F286" s="4"/>
      <c r="G286" s="4"/>
    </row>
    <row r="287" spans="1:7" ht="12.75" customHeight="1" x14ac:dyDescent="0.25">
      <c r="A287" s="8">
        <v>777</v>
      </c>
      <c r="B287" s="9" t="s">
        <v>586</v>
      </c>
      <c r="C287" s="9" t="s">
        <v>6</v>
      </c>
      <c r="D287" s="5">
        <v>0</v>
      </c>
      <c r="E287" s="4"/>
      <c r="F287" s="4"/>
      <c r="G287" s="4"/>
    </row>
    <row r="288" spans="1:7" ht="12.75" customHeight="1" x14ac:dyDescent="0.25">
      <c r="A288" s="8">
        <v>780</v>
      </c>
      <c r="B288" s="9" t="s">
        <v>102</v>
      </c>
      <c r="C288" s="9" t="s">
        <v>6</v>
      </c>
      <c r="D288" s="5">
        <v>0</v>
      </c>
      <c r="E288" s="4"/>
      <c r="F288" s="4"/>
      <c r="G288" s="5">
        <v>0</v>
      </c>
    </row>
    <row r="289" spans="1:7" ht="12.75" customHeight="1" x14ac:dyDescent="0.25">
      <c r="A289" s="8">
        <v>781</v>
      </c>
      <c r="B289" s="9" t="s">
        <v>12</v>
      </c>
      <c r="C289" s="9" t="s">
        <v>6</v>
      </c>
      <c r="D289" s="5">
        <v>78</v>
      </c>
      <c r="E289" s="4"/>
      <c r="F289" s="5">
        <v>33102</v>
      </c>
      <c r="G289" s="5">
        <v>0</v>
      </c>
    </row>
    <row r="290" spans="1:7" ht="12.75" customHeight="1" x14ac:dyDescent="0.25">
      <c r="A290" s="8">
        <v>792</v>
      </c>
      <c r="B290" s="9" t="s">
        <v>433</v>
      </c>
      <c r="C290" s="9" t="s">
        <v>6</v>
      </c>
      <c r="D290" s="5">
        <v>0</v>
      </c>
      <c r="E290" s="5">
        <v>0</v>
      </c>
      <c r="F290" s="5">
        <v>0</v>
      </c>
      <c r="G290" s="4"/>
    </row>
    <row r="291" spans="1:7" ht="12.75" customHeight="1" x14ac:dyDescent="0.25">
      <c r="A291" s="8">
        <v>793</v>
      </c>
      <c r="B291" s="9" t="s">
        <v>435</v>
      </c>
      <c r="C291" s="9" t="s">
        <v>6</v>
      </c>
      <c r="D291" s="5">
        <v>0</v>
      </c>
      <c r="E291" s="5">
        <v>0</v>
      </c>
      <c r="F291" s="5">
        <v>0</v>
      </c>
      <c r="G291" s="4"/>
    </row>
    <row r="292" spans="1:7" ht="12.75" customHeight="1" x14ac:dyDescent="0.25">
      <c r="A292" s="8">
        <v>794</v>
      </c>
      <c r="B292" s="9" t="s">
        <v>437</v>
      </c>
      <c r="C292" s="9" t="s">
        <v>6</v>
      </c>
      <c r="D292" s="5">
        <v>0</v>
      </c>
      <c r="E292" s="5">
        <v>0</v>
      </c>
      <c r="F292" s="5">
        <v>0</v>
      </c>
      <c r="G292" s="4"/>
    </row>
    <row r="293" spans="1:7" ht="12.75" customHeight="1" x14ac:dyDescent="0.25">
      <c r="A293" s="8">
        <v>795</v>
      </c>
      <c r="B293" s="9" t="s">
        <v>449</v>
      </c>
      <c r="C293" s="9" t="s">
        <v>6</v>
      </c>
      <c r="D293" s="5">
        <v>0</v>
      </c>
      <c r="E293" s="5">
        <v>0</v>
      </c>
      <c r="F293" s="5">
        <v>0</v>
      </c>
      <c r="G293" s="4"/>
    </row>
    <row r="294" spans="1:7" ht="12.75" customHeight="1" x14ac:dyDescent="0.25">
      <c r="A294" s="8">
        <v>799</v>
      </c>
      <c r="B294" s="9" t="s">
        <v>74</v>
      </c>
      <c r="C294" s="9" t="s">
        <v>67</v>
      </c>
      <c r="D294" s="4"/>
      <c r="E294" s="5">
        <v>5600</v>
      </c>
      <c r="F294" s="5">
        <v>3950</v>
      </c>
      <c r="G294" s="4"/>
    </row>
    <row r="295" spans="1:7" ht="12.75" customHeight="1" x14ac:dyDescent="0.25">
      <c r="A295" s="8">
        <v>803</v>
      </c>
      <c r="B295" s="9" t="s">
        <v>129</v>
      </c>
      <c r="C295" s="9" t="s">
        <v>6</v>
      </c>
      <c r="D295" s="4"/>
      <c r="E295" s="4"/>
      <c r="F295" s="4"/>
      <c r="G295" s="5">
        <v>0</v>
      </c>
    </row>
    <row r="296" spans="1:7" ht="12.75" customHeight="1" x14ac:dyDescent="0.25">
      <c r="A296" s="8">
        <v>805</v>
      </c>
      <c r="B296" s="9" t="s">
        <v>112</v>
      </c>
      <c r="C296" s="9" t="s">
        <v>6</v>
      </c>
      <c r="D296" s="5">
        <v>0</v>
      </c>
      <c r="E296" s="4"/>
      <c r="F296" s="4"/>
      <c r="G296" s="5">
        <v>0</v>
      </c>
    </row>
    <row r="297" spans="1:7" ht="12.75" customHeight="1" x14ac:dyDescent="0.25">
      <c r="A297" s="8">
        <v>806</v>
      </c>
      <c r="B297" s="9" t="s">
        <v>291</v>
      </c>
      <c r="C297" s="9" t="s">
        <v>6</v>
      </c>
      <c r="D297" s="4"/>
      <c r="E297" s="5">
        <v>150</v>
      </c>
      <c r="F297" s="5">
        <v>390</v>
      </c>
      <c r="G297" s="5">
        <v>0</v>
      </c>
    </row>
    <row r="298" spans="1:7" ht="12.75" customHeight="1" x14ac:dyDescent="0.25">
      <c r="A298" s="8">
        <v>811</v>
      </c>
      <c r="B298" s="9" t="s">
        <v>423</v>
      </c>
      <c r="C298" s="9" t="s">
        <v>6</v>
      </c>
      <c r="D298" s="5">
        <v>0</v>
      </c>
      <c r="E298" s="5">
        <v>0</v>
      </c>
      <c r="F298" s="5">
        <v>0</v>
      </c>
      <c r="G298" s="4"/>
    </row>
    <row r="299" spans="1:7" ht="12.75" customHeight="1" x14ac:dyDescent="0.25">
      <c r="A299" s="8">
        <v>812</v>
      </c>
      <c r="B299" s="9" t="s">
        <v>443</v>
      </c>
      <c r="C299" s="9" t="s">
        <v>6</v>
      </c>
      <c r="D299" s="5">
        <v>0</v>
      </c>
      <c r="E299" s="5">
        <v>0</v>
      </c>
      <c r="F299" s="5">
        <v>0</v>
      </c>
      <c r="G299" s="4"/>
    </row>
    <row r="300" spans="1:7" ht="12.75" customHeight="1" x14ac:dyDescent="0.25">
      <c r="A300" s="8">
        <v>813</v>
      </c>
      <c r="B300" s="9" t="s">
        <v>460</v>
      </c>
      <c r="C300" s="9" t="s">
        <v>6</v>
      </c>
      <c r="D300" s="5">
        <v>0</v>
      </c>
      <c r="E300" s="5">
        <v>0</v>
      </c>
      <c r="F300" s="5">
        <v>0</v>
      </c>
      <c r="G300" s="4"/>
    </row>
    <row r="301" spans="1:7" ht="12.75" customHeight="1" x14ac:dyDescent="0.25">
      <c r="A301" s="8">
        <v>819</v>
      </c>
      <c r="B301" s="9" t="s">
        <v>546</v>
      </c>
      <c r="C301" s="9" t="s">
        <v>6</v>
      </c>
      <c r="D301" s="4"/>
      <c r="E301" s="4"/>
      <c r="F301" s="4"/>
      <c r="G301" s="5">
        <v>0</v>
      </c>
    </row>
    <row r="302" spans="1:7" ht="12.75" customHeight="1" x14ac:dyDescent="0.25">
      <c r="A302" s="8">
        <v>821</v>
      </c>
      <c r="B302" s="9" t="s">
        <v>441</v>
      </c>
      <c r="C302" s="9" t="s">
        <v>6</v>
      </c>
      <c r="D302" s="5">
        <v>0</v>
      </c>
      <c r="E302" s="5">
        <v>0</v>
      </c>
      <c r="F302" s="5">
        <v>0</v>
      </c>
      <c r="G302" s="4"/>
    </row>
    <row r="303" spans="1:7" ht="12.75" customHeight="1" x14ac:dyDescent="0.25">
      <c r="A303" s="8">
        <v>822</v>
      </c>
      <c r="B303" s="9" t="s">
        <v>455</v>
      </c>
      <c r="C303" s="9" t="s">
        <v>6</v>
      </c>
      <c r="D303" s="5">
        <v>0</v>
      </c>
      <c r="E303" s="5">
        <v>0</v>
      </c>
      <c r="F303" s="5">
        <v>0</v>
      </c>
      <c r="G303" s="4"/>
    </row>
    <row r="304" spans="1:7" ht="12.75" customHeight="1" x14ac:dyDescent="0.25">
      <c r="A304" s="8">
        <v>824</v>
      </c>
      <c r="B304" s="9" t="s">
        <v>479</v>
      </c>
      <c r="C304" s="9" t="s">
        <v>6</v>
      </c>
      <c r="D304" s="5">
        <v>0</v>
      </c>
      <c r="E304" s="5">
        <v>0</v>
      </c>
      <c r="F304" s="5">
        <v>0</v>
      </c>
      <c r="G304" s="4"/>
    </row>
    <row r="305" spans="1:7" ht="12.75" customHeight="1" x14ac:dyDescent="0.25">
      <c r="A305" s="8">
        <v>825</v>
      </c>
      <c r="B305" s="9" t="s">
        <v>649</v>
      </c>
      <c r="C305" s="9" t="s">
        <v>22</v>
      </c>
      <c r="D305" s="4"/>
      <c r="E305" s="5">
        <v>8028</v>
      </c>
      <c r="F305" s="5">
        <v>893</v>
      </c>
      <c r="G305" s="4"/>
    </row>
    <row r="306" spans="1:7" ht="12.75" customHeight="1" x14ac:dyDescent="0.25">
      <c r="A306" s="8">
        <v>845</v>
      </c>
      <c r="B306" s="9" t="s">
        <v>81</v>
      </c>
      <c r="C306" s="9" t="s">
        <v>6</v>
      </c>
      <c r="D306" s="5">
        <v>14000</v>
      </c>
      <c r="E306" s="4"/>
      <c r="F306" s="4"/>
      <c r="G306" s="5">
        <v>0</v>
      </c>
    </row>
    <row r="307" spans="1:7" ht="12.75" customHeight="1" x14ac:dyDescent="0.25">
      <c r="A307" s="8">
        <v>851</v>
      </c>
      <c r="B307" s="9" t="s">
        <v>335</v>
      </c>
      <c r="C307" s="9" t="s">
        <v>6</v>
      </c>
      <c r="D307" s="4"/>
      <c r="E307" s="5">
        <v>43</v>
      </c>
      <c r="F307" s="5">
        <v>450</v>
      </c>
      <c r="G307" s="5">
        <v>0</v>
      </c>
    </row>
    <row r="308" spans="1:7" ht="12.75" customHeight="1" x14ac:dyDescent="0.25">
      <c r="A308" s="8">
        <v>853</v>
      </c>
      <c r="B308" s="9" t="s">
        <v>256</v>
      </c>
      <c r="C308" s="9" t="s">
        <v>6</v>
      </c>
      <c r="D308" s="4"/>
      <c r="E308" s="5">
        <v>187</v>
      </c>
      <c r="F308" s="4"/>
      <c r="G308" s="5">
        <v>0</v>
      </c>
    </row>
    <row r="309" spans="1:7" ht="12.75" customHeight="1" x14ac:dyDescent="0.25">
      <c r="A309" s="8">
        <v>854</v>
      </c>
      <c r="B309" s="9" t="s">
        <v>425</v>
      </c>
      <c r="C309" s="9" t="s">
        <v>6</v>
      </c>
      <c r="D309" s="5">
        <v>0</v>
      </c>
      <c r="E309" s="5">
        <v>0</v>
      </c>
      <c r="F309" s="5">
        <v>0</v>
      </c>
      <c r="G309" s="4"/>
    </row>
    <row r="310" spans="1:7" ht="12.75" customHeight="1" x14ac:dyDescent="0.25">
      <c r="A310" s="8">
        <v>855</v>
      </c>
      <c r="B310" s="9" t="s">
        <v>35</v>
      </c>
      <c r="C310" s="9" t="s">
        <v>22</v>
      </c>
      <c r="D310" s="4"/>
      <c r="E310" s="5">
        <v>14592</v>
      </c>
      <c r="F310" s="5">
        <v>0</v>
      </c>
      <c r="G310" s="4"/>
    </row>
    <row r="311" spans="1:7" ht="12.75" customHeight="1" x14ac:dyDescent="0.25">
      <c r="A311" s="8">
        <v>856</v>
      </c>
      <c r="B311" s="9" t="s">
        <v>45</v>
      </c>
      <c r="C311" s="9" t="s">
        <v>22</v>
      </c>
      <c r="D311" s="4"/>
      <c r="E311" s="5">
        <v>6700</v>
      </c>
      <c r="F311" s="4"/>
      <c r="G311" s="4"/>
    </row>
    <row r="312" spans="1:7" ht="12.75" customHeight="1" x14ac:dyDescent="0.25">
      <c r="A312" s="8">
        <v>859</v>
      </c>
      <c r="B312" s="9" t="s">
        <v>143</v>
      </c>
      <c r="C312" s="9" t="s">
        <v>22</v>
      </c>
      <c r="D312" s="5">
        <v>0</v>
      </c>
      <c r="E312" s="4"/>
      <c r="F312" s="4"/>
      <c r="G312" s="4"/>
    </row>
    <row r="313" spans="1:7" ht="12.75" customHeight="1" x14ac:dyDescent="0.25">
      <c r="A313" s="8">
        <v>869</v>
      </c>
      <c r="B313" s="9" t="s">
        <v>140</v>
      </c>
      <c r="C313" s="9" t="s">
        <v>22</v>
      </c>
      <c r="D313" s="5">
        <v>0</v>
      </c>
      <c r="E313" s="5">
        <v>80</v>
      </c>
      <c r="F313" s="4"/>
      <c r="G313" s="4"/>
    </row>
    <row r="314" spans="1:7" ht="12.75" customHeight="1" x14ac:dyDescent="0.25">
      <c r="A314" s="8">
        <v>874</v>
      </c>
      <c r="B314" s="9" t="s">
        <v>257</v>
      </c>
      <c r="C314" s="9" t="s">
        <v>6</v>
      </c>
      <c r="D314" s="4"/>
      <c r="E314" s="5">
        <v>300</v>
      </c>
      <c r="F314" s="4"/>
      <c r="G314" s="5">
        <v>0</v>
      </c>
    </row>
    <row r="315" spans="1:7" ht="12.75" customHeight="1" x14ac:dyDescent="0.25">
      <c r="A315" s="8">
        <v>878</v>
      </c>
      <c r="B315" s="9" t="s">
        <v>331</v>
      </c>
      <c r="C315" s="9" t="s">
        <v>6</v>
      </c>
      <c r="D315" s="4"/>
      <c r="E315" s="4"/>
      <c r="F315" s="5">
        <v>50</v>
      </c>
      <c r="G315" s="4"/>
    </row>
    <row r="316" spans="1:7" ht="12.75" customHeight="1" x14ac:dyDescent="0.25">
      <c r="A316" s="8">
        <v>879</v>
      </c>
      <c r="B316" s="9" t="s">
        <v>91</v>
      </c>
      <c r="C316" s="9" t="s">
        <v>6</v>
      </c>
      <c r="D316" s="4"/>
      <c r="E316" s="4"/>
      <c r="F316" s="4"/>
      <c r="G316" s="5">
        <v>0</v>
      </c>
    </row>
    <row r="317" spans="1:7" ht="12.75" customHeight="1" x14ac:dyDescent="0.25">
      <c r="A317" s="8">
        <v>890</v>
      </c>
      <c r="B317" s="9" t="s">
        <v>453</v>
      </c>
      <c r="C317" s="9" t="s">
        <v>6</v>
      </c>
      <c r="D317" s="5">
        <v>0</v>
      </c>
      <c r="E317" s="5">
        <v>0</v>
      </c>
      <c r="F317" s="5">
        <v>0</v>
      </c>
      <c r="G317" s="4"/>
    </row>
    <row r="318" spans="1:7" ht="12.75" customHeight="1" x14ac:dyDescent="0.25">
      <c r="A318" s="8">
        <v>894</v>
      </c>
      <c r="B318" s="9" t="s">
        <v>215</v>
      </c>
      <c r="C318" s="9" t="s">
        <v>22</v>
      </c>
      <c r="D318" s="4"/>
      <c r="E318" s="5">
        <v>3200</v>
      </c>
      <c r="F318" s="4"/>
      <c r="G318" s="4"/>
    </row>
    <row r="319" spans="1:7" ht="12.75" customHeight="1" x14ac:dyDescent="0.25">
      <c r="A319" s="8">
        <v>898</v>
      </c>
      <c r="B319" s="9" t="s">
        <v>269</v>
      </c>
      <c r="C319" s="9" t="s">
        <v>6</v>
      </c>
      <c r="D319" s="4"/>
      <c r="E319" s="4"/>
      <c r="F319" s="4"/>
      <c r="G319" s="5">
        <v>0</v>
      </c>
    </row>
    <row r="320" spans="1:7" ht="12.75" customHeight="1" x14ac:dyDescent="0.25">
      <c r="A320" s="8">
        <v>900</v>
      </c>
      <c r="B320" s="9" t="s">
        <v>124</v>
      </c>
      <c r="C320" s="9" t="s">
        <v>6</v>
      </c>
      <c r="D320" s="4"/>
      <c r="E320" s="5">
        <v>1700</v>
      </c>
      <c r="F320" s="4"/>
      <c r="G320" s="5">
        <v>0</v>
      </c>
    </row>
    <row r="321" spans="1:7" ht="12.75" customHeight="1" x14ac:dyDescent="0.25">
      <c r="A321" s="8">
        <v>907</v>
      </c>
      <c r="B321" s="9" t="s">
        <v>243</v>
      </c>
      <c r="C321" s="9" t="s">
        <v>6</v>
      </c>
      <c r="D321" s="4"/>
      <c r="E321" s="4"/>
      <c r="F321" s="4"/>
      <c r="G321" s="5">
        <v>0</v>
      </c>
    </row>
    <row r="322" spans="1:7" ht="12.75" customHeight="1" x14ac:dyDescent="0.25">
      <c r="A322" s="8">
        <v>913</v>
      </c>
      <c r="B322" s="9" t="s">
        <v>62</v>
      </c>
      <c r="C322" s="9" t="s">
        <v>22</v>
      </c>
      <c r="D322" s="5">
        <v>513</v>
      </c>
      <c r="E322" s="5">
        <v>4152</v>
      </c>
      <c r="F322" s="4"/>
      <c r="G322" s="4"/>
    </row>
    <row r="323" spans="1:7" ht="12.75" customHeight="1" x14ac:dyDescent="0.25">
      <c r="A323" s="8">
        <v>917</v>
      </c>
      <c r="B323" s="9" t="s">
        <v>61</v>
      </c>
      <c r="C323" s="9" t="s">
        <v>22</v>
      </c>
      <c r="D323" s="5">
        <v>0</v>
      </c>
      <c r="E323" s="5">
        <v>1486</v>
      </c>
      <c r="F323" s="4"/>
      <c r="G323" s="4"/>
    </row>
    <row r="324" spans="1:7" ht="12.75" customHeight="1" x14ac:dyDescent="0.25">
      <c r="A324" s="8">
        <v>926</v>
      </c>
      <c r="B324" s="9" t="s">
        <v>217</v>
      </c>
      <c r="C324" s="9" t="s">
        <v>22</v>
      </c>
      <c r="D324" s="5">
        <v>0</v>
      </c>
      <c r="E324" s="5">
        <v>1090</v>
      </c>
      <c r="F324" s="4"/>
      <c r="G324" s="4"/>
    </row>
    <row r="325" spans="1:7" ht="12.75" customHeight="1" x14ac:dyDescent="0.25">
      <c r="A325" s="8">
        <v>929</v>
      </c>
      <c r="B325" s="9" t="s">
        <v>189</v>
      </c>
      <c r="C325" s="9" t="s">
        <v>22</v>
      </c>
      <c r="D325" s="4"/>
      <c r="E325" s="5">
        <v>1652</v>
      </c>
      <c r="F325" s="4"/>
      <c r="G325" s="4"/>
    </row>
    <row r="326" spans="1:7" ht="12.75" customHeight="1" x14ac:dyDescent="0.25">
      <c r="A326" s="8">
        <v>930</v>
      </c>
      <c r="B326" s="9" t="s">
        <v>23</v>
      </c>
      <c r="C326" s="9" t="s">
        <v>22</v>
      </c>
      <c r="D326" s="4"/>
      <c r="E326" s="5">
        <v>26148</v>
      </c>
      <c r="F326" s="5">
        <v>2170</v>
      </c>
      <c r="G326" s="4"/>
    </row>
    <row r="327" spans="1:7" ht="12.75" customHeight="1" x14ac:dyDescent="0.25">
      <c r="A327" s="8">
        <v>937</v>
      </c>
      <c r="B327" s="9" t="s">
        <v>452</v>
      </c>
      <c r="C327" s="9" t="s">
        <v>6</v>
      </c>
      <c r="D327" s="5">
        <v>0</v>
      </c>
      <c r="E327" s="5">
        <v>0</v>
      </c>
      <c r="F327" s="5">
        <v>0</v>
      </c>
      <c r="G327" s="4"/>
    </row>
    <row r="328" spans="1:7" ht="12.75" customHeight="1" x14ac:dyDescent="0.25">
      <c r="A328" s="8">
        <v>943</v>
      </c>
      <c r="B328" s="9" t="s">
        <v>90</v>
      </c>
      <c r="C328" s="9" t="s">
        <v>6</v>
      </c>
      <c r="D328" s="5">
        <v>0</v>
      </c>
      <c r="E328" s="4"/>
      <c r="F328" s="4"/>
      <c r="G328" s="5">
        <v>0</v>
      </c>
    </row>
    <row r="329" spans="1:7" ht="12.75" customHeight="1" x14ac:dyDescent="0.25">
      <c r="A329" s="8">
        <v>944</v>
      </c>
      <c r="B329" s="9" t="s">
        <v>186</v>
      </c>
      <c r="C329" s="9" t="s">
        <v>22</v>
      </c>
      <c r="D329" s="4"/>
      <c r="E329" s="5">
        <v>520</v>
      </c>
      <c r="F329" s="4"/>
      <c r="G329" s="4"/>
    </row>
    <row r="330" spans="1:7" ht="12.75" customHeight="1" x14ac:dyDescent="0.25">
      <c r="A330" s="8">
        <v>951</v>
      </c>
      <c r="B330" s="9" t="s">
        <v>531</v>
      </c>
      <c r="C330" s="9" t="s">
        <v>6</v>
      </c>
      <c r="D330" s="4"/>
      <c r="E330" s="5">
        <v>2</v>
      </c>
      <c r="F330" s="4"/>
      <c r="G330" s="5">
        <v>0</v>
      </c>
    </row>
    <row r="331" spans="1:7" ht="12.75" customHeight="1" x14ac:dyDescent="0.25">
      <c r="A331" s="8">
        <v>953</v>
      </c>
      <c r="B331" s="9" t="s">
        <v>196</v>
      </c>
      <c r="C331" s="9" t="s">
        <v>22</v>
      </c>
      <c r="D331" s="4"/>
      <c r="E331" s="5">
        <v>1582</v>
      </c>
      <c r="F331" s="4"/>
      <c r="G331" s="4"/>
    </row>
    <row r="332" spans="1:7" ht="12.75" customHeight="1" x14ac:dyDescent="0.25">
      <c r="A332" s="8">
        <v>954</v>
      </c>
      <c r="B332" s="9" t="s">
        <v>447</v>
      </c>
      <c r="C332" s="9" t="s">
        <v>6</v>
      </c>
      <c r="D332" s="5">
        <v>0</v>
      </c>
      <c r="E332" s="5">
        <v>0</v>
      </c>
      <c r="F332" s="5">
        <v>0</v>
      </c>
      <c r="G332" s="4"/>
    </row>
    <row r="333" spans="1:7" ht="12.75" customHeight="1" x14ac:dyDescent="0.25">
      <c r="A333" s="8">
        <v>955</v>
      </c>
      <c r="B333" s="9" t="s">
        <v>172</v>
      </c>
      <c r="C333" s="9" t="s">
        <v>22</v>
      </c>
      <c r="D333" s="4"/>
      <c r="E333" s="5">
        <v>0</v>
      </c>
      <c r="F333" s="4"/>
      <c r="G333" s="4"/>
    </row>
    <row r="334" spans="1:7" ht="12.75" customHeight="1" x14ac:dyDescent="0.25">
      <c r="A334" s="8">
        <v>982</v>
      </c>
      <c r="B334" s="9" t="s">
        <v>174</v>
      </c>
      <c r="C334" s="9" t="s">
        <v>22</v>
      </c>
      <c r="D334" s="4"/>
      <c r="E334" s="5">
        <v>0</v>
      </c>
      <c r="F334" s="5">
        <v>740</v>
      </c>
      <c r="G334" s="4"/>
    </row>
    <row r="335" spans="1:7" ht="12.75" customHeight="1" x14ac:dyDescent="0.25">
      <c r="A335" s="8">
        <v>983</v>
      </c>
      <c r="B335" s="9" t="s">
        <v>219</v>
      </c>
      <c r="C335" s="9" t="s">
        <v>22</v>
      </c>
      <c r="D335" s="4"/>
      <c r="E335" s="5">
        <v>300</v>
      </c>
      <c r="F335" s="4"/>
      <c r="G335" s="4"/>
    </row>
    <row r="336" spans="1:7" ht="12.75" customHeight="1" x14ac:dyDescent="0.25">
      <c r="A336" s="8">
        <v>985</v>
      </c>
      <c r="B336" s="9" t="s">
        <v>16</v>
      </c>
      <c r="C336" s="9" t="s">
        <v>6</v>
      </c>
      <c r="D336" s="4"/>
      <c r="E336" s="4"/>
      <c r="F336" s="4"/>
      <c r="G336" s="5">
        <v>50550</v>
      </c>
    </row>
    <row r="337" spans="1:7" ht="12.75" customHeight="1" x14ac:dyDescent="0.25">
      <c r="A337" s="8">
        <v>990</v>
      </c>
      <c r="B337" s="9" t="s">
        <v>181</v>
      </c>
      <c r="C337" s="9" t="s">
        <v>22</v>
      </c>
      <c r="D337" s="5">
        <v>50</v>
      </c>
      <c r="E337" s="4"/>
      <c r="F337" s="4"/>
      <c r="G337" s="4"/>
    </row>
    <row r="338" spans="1:7" ht="12.75" customHeight="1" x14ac:dyDescent="0.25">
      <c r="A338" s="8">
        <v>997</v>
      </c>
      <c r="B338" s="9" t="s">
        <v>179</v>
      </c>
      <c r="C338" s="9" t="s">
        <v>22</v>
      </c>
      <c r="D338" s="5">
        <v>0</v>
      </c>
      <c r="E338" s="4"/>
      <c r="F338" s="4"/>
      <c r="G338" s="4"/>
    </row>
    <row r="339" spans="1:7" ht="12.75" customHeight="1" x14ac:dyDescent="0.25">
      <c r="A339" s="8">
        <v>1000</v>
      </c>
      <c r="B339" s="9" t="s">
        <v>454</v>
      </c>
      <c r="C339" s="9" t="s">
        <v>6</v>
      </c>
      <c r="D339" s="5">
        <v>0</v>
      </c>
      <c r="E339" s="5">
        <v>0</v>
      </c>
      <c r="F339" s="5">
        <v>0</v>
      </c>
      <c r="G339" s="4"/>
    </row>
    <row r="340" spans="1:7" ht="12.75" customHeight="1" x14ac:dyDescent="0.25">
      <c r="A340" s="8">
        <v>1005</v>
      </c>
      <c r="B340" s="9" t="s">
        <v>375</v>
      </c>
      <c r="C340" s="9" t="s">
        <v>22</v>
      </c>
      <c r="D340" s="4"/>
      <c r="E340" s="5">
        <v>4</v>
      </c>
      <c r="F340" s="5">
        <v>1652</v>
      </c>
      <c r="G340" s="4"/>
    </row>
    <row r="341" spans="1:7" ht="12.75" customHeight="1" x14ac:dyDescent="0.25">
      <c r="A341" s="8">
        <v>1009</v>
      </c>
      <c r="B341" s="9" t="s">
        <v>92</v>
      </c>
      <c r="C341" s="9" t="s">
        <v>6</v>
      </c>
      <c r="D341" s="5">
        <v>1980</v>
      </c>
      <c r="E341" s="4"/>
      <c r="F341" s="4"/>
      <c r="G341" s="5">
        <v>0</v>
      </c>
    </row>
    <row r="342" spans="1:7" ht="12.75" customHeight="1" x14ac:dyDescent="0.25">
      <c r="A342" s="8">
        <v>1011</v>
      </c>
      <c r="B342" s="9" t="s">
        <v>497</v>
      </c>
      <c r="C342" s="9" t="s">
        <v>6</v>
      </c>
      <c r="D342" s="4"/>
      <c r="E342" s="4"/>
      <c r="F342" s="4"/>
      <c r="G342" s="5">
        <v>0</v>
      </c>
    </row>
    <row r="343" spans="1:7" ht="12.75" customHeight="1" x14ac:dyDescent="0.25">
      <c r="A343" s="8">
        <v>1012</v>
      </c>
      <c r="B343" s="9" t="s">
        <v>524</v>
      </c>
      <c r="C343" s="9" t="s">
        <v>6</v>
      </c>
      <c r="D343" s="4"/>
      <c r="E343" s="4"/>
      <c r="F343" s="4"/>
      <c r="G343" s="5">
        <v>1044</v>
      </c>
    </row>
    <row r="344" spans="1:7" ht="12.75" customHeight="1" x14ac:dyDescent="0.25">
      <c r="A344" s="8">
        <v>1013</v>
      </c>
      <c r="B344" s="9" t="s">
        <v>523</v>
      </c>
      <c r="C344" s="9" t="s">
        <v>6</v>
      </c>
      <c r="D344" s="4"/>
      <c r="E344" s="4"/>
      <c r="F344" s="5">
        <v>482</v>
      </c>
      <c r="G344" s="4"/>
    </row>
    <row r="345" spans="1:7" ht="12.75" customHeight="1" x14ac:dyDescent="0.25">
      <c r="A345" s="8">
        <v>1014</v>
      </c>
      <c r="B345" s="9" t="s">
        <v>525</v>
      </c>
      <c r="C345" s="9" t="s">
        <v>6</v>
      </c>
      <c r="D345" s="4"/>
      <c r="E345" s="4"/>
      <c r="F345" s="5">
        <v>9500</v>
      </c>
      <c r="G345" s="5">
        <v>6600</v>
      </c>
    </row>
    <row r="346" spans="1:7" ht="12.75" customHeight="1" x14ac:dyDescent="0.25">
      <c r="A346" s="8">
        <v>1025</v>
      </c>
      <c r="B346" s="9" t="s">
        <v>545</v>
      </c>
      <c r="C346" s="9" t="s">
        <v>6</v>
      </c>
      <c r="D346" s="4"/>
      <c r="E346" s="4"/>
      <c r="F346" s="4"/>
      <c r="G346" s="5">
        <v>4600</v>
      </c>
    </row>
    <row r="347" spans="1:7" ht="12.75" customHeight="1" x14ac:dyDescent="0.25">
      <c r="A347" s="8">
        <v>1030</v>
      </c>
      <c r="B347" s="9" t="s">
        <v>728</v>
      </c>
      <c r="C347" s="9" t="s">
        <v>6</v>
      </c>
      <c r="D347" s="5">
        <v>0</v>
      </c>
      <c r="E347" s="5">
        <v>0</v>
      </c>
      <c r="F347" s="5">
        <v>0</v>
      </c>
      <c r="G347" s="4"/>
    </row>
    <row r="348" spans="1:7" ht="12.75" customHeight="1" x14ac:dyDescent="0.25">
      <c r="A348" s="8">
        <v>1031</v>
      </c>
      <c r="B348" s="9" t="s">
        <v>733</v>
      </c>
      <c r="C348" s="9" t="s">
        <v>6</v>
      </c>
      <c r="D348" s="5">
        <v>0</v>
      </c>
      <c r="E348" s="5">
        <v>0</v>
      </c>
      <c r="F348" s="5">
        <v>0</v>
      </c>
      <c r="G348" s="4"/>
    </row>
    <row r="349" spans="1:7" ht="12.75" customHeight="1" x14ac:dyDescent="0.25">
      <c r="A349" s="8">
        <v>1036</v>
      </c>
      <c r="B349" s="9" t="s">
        <v>794</v>
      </c>
      <c r="C349" s="9" t="s">
        <v>6</v>
      </c>
      <c r="D349" s="4"/>
      <c r="E349" s="4"/>
      <c r="F349" s="4"/>
      <c r="G349" s="5">
        <v>0</v>
      </c>
    </row>
    <row r="350" spans="1:7" ht="12.75" customHeight="1" x14ac:dyDescent="0.25">
      <c r="A350" s="8">
        <v>1038</v>
      </c>
      <c r="B350" s="9" t="s">
        <v>804</v>
      </c>
      <c r="C350" s="9" t="s">
        <v>6</v>
      </c>
      <c r="D350" s="4"/>
      <c r="E350" s="4"/>
      <c r="F350" s="4"/>
      <c r="G350" s="5">
        <v>0</v>
      </c>
    </row>
    <row r="351" spans="1:7" ht="12.75" customHeight="1" x14ac:dyDescent="0.25">
      <c r="A351" s="8">
        <v>1040</v>
      </c>
      <c r="B351" s="9" t="s">
        <v>777</v>
      </c>
      <c r="C351" s="9" t="s">
        <v>6</v>
      </c>
      <c r="D351" s="4"/>
      <c r="E351" s="5">
        <v>770</v>
      </c>
      <c r="F351" s="5">
        <v>1470</v>
      </c>
      <c r="G351" s="5">
        <v>5680</v>
      </c>
    </row>
    <row r="352" spans="1:7" ht="12.75" customHeight="1" x14ac:dyDescent="0.25">
      <c r="A352" s="8">
        <v>1042</v>
      </c>
      <c r="B352" s="9" t="s">
        <v>806</v>
      </c>
      <c r="C352" s="9" t="s">
        <v>22</v>
      </c>
      <c r="D352" s="5">
        <v>0</v>
      </c>
      <c r="E352" s="4"/>
      <c r="F352" s="4"/>
      <c r="G352" s="4"/>
    </row>
    <row r="353" spans="1:7" ht="12.75" customHeight="1" x14ac:dyDescent="0.25">
      <c r="A353" s="8">
        <v>1043</v>
      </c>
      <c r="B353" s="9" t="s">
        <v>807</v>
      </c>
      <c r="C353" s="9" t="s">
        <v>22</v>
      </c>
      <c r="D353" s="5">
        <v>398</v>
      </c>
      <c r="E353" s="5">
        <v>1500</v>
      </c>
      <c r="F353" s="4"/>
      <c r="G353" s="4"/>
    </row>
    <row r="354" spans="1:7" ht="12.75" customHeight="1" x14ac:dyDescent="0.25">
      <c r="A354" s="8">
        <v>1046</v>
      </c>
      <c r="B354" s="9" t="s">
        <v>825</v>
      </c>
      <c r="C354" s="9" t="s">
        <v>64</v>
      </c>
      <c r="D354" s="4"/>
      <c r="E354" s="5">
        <v>3991</v>
      </c>
      <c r="F354" s="4"/>
      <c r="G354" s="4"/>
    </row>
    <row r="355" spans="1:7" ht="12.75" customHeight="1" x14ac:dyDescent="0.25">
      <c r="A355" s="8">
        <v>1142</v>
      </c>
      <c r="B355" s="9" t="s">
        <v>734</v>
      </c>
      <c r="C355" s="9" t="s">
        <v>6</v>
      </c>
      <c r="D355" s="4"/>
      <c r="E355" s="4"/>
      <c r="F355" s="4"/>
      <c r="G355" s="5">
        <v>0</v>
      </c>
    </row>
    <row r="356" spans="1:7" ht="12.75" customHeight="1" x14ac:dyDescent="0.25">
      <c r="A356" s="8">
        <v>1143</v>
      </c>
      <c r="B356" s="9" t="s">
        <v>759</v>
      </c>
      <c r="C356" s="9" t="s">
        <v>6</v>
      </c>
      <c r="D356" s="4"/>
      <c r="E356" s="4"/>
      <c r="F356" s="4"/>
      <c r="G356" s="5">
        <v>0</v>
      </c>
    </row>
    <row r="357" spans="1:7" ht="12.75" customHeight="1" x14ac:dyDescent="0.25">
      <c r="A357" s="8">
        <v>1144</v>
      </c>
      <c r="B357" s="9" t="s">
        <v>762</v>
      </c>
      <c r="C357" s="9" t="s">
        <v>6</v>
      </c>
      <c r="D357" s="4"/>
      <c r="E357" s="4"/>
      <c r="F357" s="4"/>
      <c r="G357" s="5">
        <v>0</v>
      </c>
    </row>
    <row r="358" spans="1:7" ht="12.75" customHeight="1" x14ac:dyDescent="0.25">
      <c r="A358" s="8">
        <v>1145</v>
      </c>
      <c r="B358" s="9" t="s">
        <v>763</v>
      </c>
      <c r="C358" s="9" t="s">
        <v>6</v>
      </c>
      <c r="D358" s="4"/>
      <c r="E358" s="4"/>
      <c r="F358" s="4"/>
      <c r="G358" s="5">
        <v>0</v>
      </c>
    </row>
    <row r="359" spans="1:7" ht="12.75" customHeight="1" x14ac:dyDescent="0.25">
      <c r="A359" s="8">
        <v>1146</v>
      </c>
      <c r="B359" s="9" t="s">
        <v>768</v>
      </c>
      <c r="C359" s="9" t="s">
        <v>6</v>
      </c>
      <c r="D359" s="4"/>
      <c r="E359" s="4"/>
      <c r="F359" s="4"/>
      <c r="G359" s="5">
        <v>0</v>
      </c>
    </row>
    <row r="360" spans="1:7" ht="12.75" customHeight="1" x14ac:dyDescent="0.25">
      <c r="A360" s="8">
        <v>1147</v>
      </c>
      <c r="B360" s="9" t="s">
        <v>769</v>
      </c>
      <c r="C360" s="9" t="s">
        <v>6</v>
      </c>
      <c r="D360" s="4"/>
      <c r="E360" s="4"/>
      <c r="F360" s="4"/>
      <c r="G360" s="5">
        <v>0</v>
      </c>
    </row>
    <row r="361" spans="1:7" ht="12.75" customHeight="1" x14ac:dyDescent="0.25">
      <c r="A361" s="8">
        <v>1148</v>
      </c>
      <c r="B361" s="9" t="s">
        <v>771</v>
      </c>
      <c r="C361" s="9" t="s">
        <v>6</v>
      </c>
      <c r="D361" s="4"/>
      <c r="E361" s="4"/>
      <c r="F361" s="4"/>
      <c r="G361" s="5">
        <v>0</v>
      </c>
    </row>
    <row r="362" spans="1:7" ht="12.75" customHeight="1" x14ac:dyDescent="0.25">
      <c r="A362" s="8">
        <v>1197</v>
      </c>
      <c r="B362" s="9" t="s">
        <v>750</v>
      </c>
      <c r="C362" s="9" t="s">
        <v>6</v>
      </c>
      <c r="D362" s="5">
        <v>157488</v>
      </c>
      <c r="E362" s="4"/>
      <c r="F362" s="4"/>
      <c r="G362" s="5">
        <v>167542</v>
      </c>
    </row>
    <row r="363" spans="1:7" ht="12.75" customHeight="1" x14ac:dyDescent="0.25">
      <c r="A363" s="8">
        <v>1198</v>
      </c>
      <c r="B363" s="9" t="s">
        <v>808</v>
      </c>
      <c r="C363" s="9" t="s">
        <v>22</v>
      </c>
      <c r="D363" s="4"/>
      <c r="E363" s="5">
        <v>60</v>
      </c>
      <c r="F363" s="4"/>
      <c r="G363" s="4"/>
    </row>
    <row r="364" spans="1:7" ht="12.75" customHeight="1" x14ac:dyDescent="0.25">
      <c r="A364" s="8">
        <v>1200</v>
      </c>
      <c r="B364" s="9" t="s">
        <v>793</v>
      </c>
      <c r="C364" s="9" t="s">
        <v>6</v>
      </c>
      <c r="D364" s="4"/>
      <c r="E364" s="4"/>
      <c r="F364" s="4"/>
      <c r="G364" s="5">
        <v>13897</v>
      </c>
    </row>
    <row r="365" spans="1:7" ht="12.75" customHeight="1" x14ac:dyDescent="0.25">
      <c r="A365" s="8">
        <v>1207</v>
      </c>
      <c r="B365" s="9" t="s">
        <v>792</v>
      </c>
      <c r="C365" s="9" t="s">
        <v>6</v>
      </c>
      <c r="D365" s="4"/>
      <c r="E365" s="4"/>
      <c r="F365" s="4"/>
      <c r="G365" s="5">
        <v>0</v>
      </c>
    </row>
    <row r="366" spans="1:7" ht="12.75" customHeight="1" x14ac:dyDescent="0.25">
      <c r="A366" s="8">
        <v>1210</v>
      </c>
      <c r="B366" s="9" t="s">
        <v>812</v>
      </c>
      <c r="C366" s="9" t="s">
        <v>22</v>
      </c>
      <c r="D366" s="4"/>
      <c r="E366" s="4"/>
      <c r="F366" s="5">
        <v>6638</v>
      </c>
      <c r="G366" s="5">
        <v>0</v>
      </c>
    </row>
    <row r="367" spans="1:7" ht="12.75" customHeight="1" x14ac:dyDescent="0.25">
      <c r="A367" s="8">
        <v>1211</v>
      </c>
      <c r="B367" s="9" t="s">
        <v>755</v>
      </c>
      <c r="C367" s="9" t="s">
        <v>6</v>
      </c>
      <c r="D367" s="4"/>
      <c r="E367" s="4"/>
      <c r="F367" s="5">
        <v>1000</v>
      </c>
      <c r="G367" s="4"/>
    </row>
    <row r="368" spans="1:7" ht="12.75" customHeight="1" x14ac:dyDescent="0.25">
      <c r="A368" s="8">
        <v>1214</v>
      </c>
      <c r="B368" s="9" t="s">
        <v>800</v>
      </c>
      <c r="C368" s="9" t="s">
        <v>6</v>
      </c>
      <c r="D368" s="4"/>
      <c r="E368" s="4"/>
      <c r="F368" s="5">
        <v>450</v>
      </c>
      <c r="G368" s="5">
        <v>0</v>
      </c>
    </row>
    <row r="369" spans="1:7" ht="12.75" customHeight="1" x14ac:dyDescent="0.25">
      <c r="A369" s="8">
        <v>1216</v>
      </c>
      <c r="B369" s="9" t="s">
        <v>748</v>
      </c>
      <c r="C369" s="9" t="s">
        <v>6</v>
      </c>
      <c r="D369" s="4"/>
      <c r="E369" s="5">
        <v>50000</v>
      </c>
      <c r="F369" s="4"/>
      <c r="G369" s="4"/>
    </row>
    <row r="370" spans="1:7" ht="12.75" customHeight="1" x14ac:dyDescent="0.25">
      <c r="A370" s="8">
        <v>1217</v>
      </c>
      <c r="B370" s="9" t="s">
        <v>884</v>
      </c>
      <c r="C370" s="9" t="s">
        <v>6</v>
      </c>
      <c r="D370" s="4"/>
      <c r="E370" s="5">
        <v>500</v>
      </c>
      <c r="F370" s="4"/>
      <c r="G370" s="4"/>
    </row>
    <row r="371" spans="1:7" ht="12.75" customHeight="1" x14ac:dyDescent="0.25">
      <c r="A371" s="8">
        <v>1218</v>
      </c>
      <c r="B371" s="9" t="s">
        <v>779</v>
      </c>
      <c r="C371" s="9" t="s">
        <v>6</v>
      </c>
      <c r="D371" s="4"/>
      <c r="E371" s="5">
        <v>1000</v>
      </c>
      <c r="F371" s="4"/>
      <c r="G371" s="5">
        <v>0</v>
      </c>
    </row>
    <row r="372" spans="1:7" ht="12.75" customHeight="1" x14ac:dyDescent="0.25">
      <c r="A372" s="8">
        <v>1219</v>
      </c>
      <c r="B372" s="9" t="s">
        <v>883</v>
      </c>
      <c r="C372" s="9" t="s">
        <v>6</v>
      </c>
      <c r="D372" s="4"/>
      <c r="E372" s="5">
        <v>4000</v>
      </c>
      <c r="F372" s="4"/>
      <c r="G372" s="4"/>
    </row>
    <row r="373" spans="1:7" ht="12.75" customHeight="1" x14ac:dyDescent="0.25">
      <c r="A373" s="8">
        <v>1221</v>
      </c>
      <c r="B373" s="9" t="s">
        <v>746</v>
      </c>
      <c r="C373" s="9" t="s">
        <v>6</v>
      </c>
      <c r="D373" s="4"/>
      <c r="E373" s="4"/>
      <c r="F373" s="4"/>
      <c r="G373" s="5">
        <v>0</v>
      </c>
    </row>
    <row r="374" spans="1:7" ht="12.75" customHeight="1" x14ac:dyDescent="0.25">
      <c r="A374" s="8">
        <v>1222</v>
      </c>
      <c r="B374" s="9" t="s">
        <v>735</v>
      </c>
      <c r="C374" s="9" t="s">
        <v>6</v>
      </c>
      <c r="D374" s="4"/>
      <c r="E374" s="4"/>
      <c r="F374" s="4"/>
      <c r="G374" s="5">
        <v>0</v>
      </c>
    </row>
    <row r="375" spans="1:7" ht="12.75" customHeight="1" x14ac:dyDescent="0.25">
      <c r="A375" s="8">
        <v>1223</v>
      </c>
      <c r="B375" s="9" t="s">
        <v>776</v>
      </c>
      <c r="C375" s="9" t="s">
        <v>6</v>
      </c>
      <c r="D375" s="4"/>
      <c r="E375" s="4"/>
      <c r="F375" s="4"/>
      <c r="G375" s="5">
        <v>0</v>
      </c>
    </row>
    <row r="376" spans="1:7" ht="12.75" customHeight="1" x14ac:dyDescent="0.25">
      <c r="A376" s="8">
        <v>1224</v>
      </c>
      <c r="B376" s="9" t="s">
        <v>802</v>
      </c>
      <c r="C376" s="9" t="s">
        <v>6</v>
      </c>
      <c r="D376" s="4"/>
      <c r="E376" s="4"/>
      <c r="F376" s="4"/>
      <c r="G376" s="5">
        <v>220</v>
      </c>
    </row>
    <row r="377" spans="1:7" ht="12.75" customHeight="1" x14ac:dyDescent="0.25">
      <c r="A377" s="8">
        <v>1225</v>
      </c>
      <c r="B377" s="9" t="s">
        <v>761</v>
      </c>
      <c r="C377" s="9" t="s">
        <v>6</v>
      </c>
      <c r="D377" s="4"/>
      <c r="E377" s="4"/>
      <c r="F377" s="4"/>
      <c r="G377" s="5">
        <v>0</v>
      </c>
    </row>
    <row r="378" spans="1:7" ht="12.75" customHeight="1" x14ac:dyDescent="0.25">
      <c r="A378" s="8">
        <v>1226</v>
      </c>
      <c r="B378" s="9" t="s">
        <v>767</v>
      </c>
      <c r="C378" s="9" t="s">
        <v>6</v>
      </c>
      <c r="D378" s="4"/>
      <c r="E378" s="4"/>
      <c r="F378" s="4"/>
      <c r="G378" s="5">
        <v>85</v>
      </c>
    </row>
    <row r="379" spans="1:7" ht="12.75" customHeight="1" x14ac:dyDescent="0.25">
      <c r="A379" s="8">
        <v>1230</v>
      </c>
      <c r="B379" s="9" t="s">
        <v>765</v>
      </c>
      <c r="C379" s="9" t="s">
        <v>6</v>
      </c>
      <c r="D379" s="4"/>
      <c r="E379" s="4"/>
      <c r="F379" s="4"/>
      <c r="G379" s="5">
        <v>0</v>
      </c>
    </row>
    <row r="380" spans="1:7" ht="12.75" customHeight="1" x14ac:dyDescent="0.25">
      <c r="A380" s="8">
        <v>1231</v>
      </c>
      <c r="B380" s="9" t="s">
        <v>764</v>
      </c>
      <c r="C380" s="9" t="s">
        <v>6</v>
      </c>
      <c r="D380" s="4"/>
      <c r="E380" s="4"/>
      <c r="F380" s="4"/>
      <c r="G380" s="5">
        <v>0</v>
      </c>
    </row>
    <row r="381" spans="1:7" ht="12.75" customHeight="1" x14ac:dyDescent="0.25">
      <c r="A381" s="8">
        <v>1232</v>
      </c>
      <c r="B381" s="9" t="s">
        <v>773</v>
      </c>
      <c r="C381" s="9" t="s">
        <v>6</v>
      </c>
      <c r="D381" s="4"/>
      <c r="E381" s="4"/>
      <c r="F381" s="4"/>
      <c r="G381" s="5">
        <v>0</v>
      </c>
    </row>
    <row r="382" spans="1:7" ht="12.75" customHeight="1" x14ac:dyDescent="0.25">
      <c r="A382" s="8">
        <v>1233</v>
      </c>
      <c r="B382" s="9" t="s">
        <v>774</v>
      </c>
      <c r="C382" s="9" t="s">
        <v>6</v>
      </c>
      <c r="D382" s="4"/>
      <c r="E382" s="4"/>
      <c r="F382" s="4"/>
      <c r="G382" s="5">
        <v>0</v>
      </c>
    </row>
    <row r="383" spans="1:7" ht="12.75" customHeight="1" x14ac:dyDescent="0.25">
      <c r="A383" s="8">
        <v>1234</v>
      </c>
      <c r="B383" s="9" t="s">
        <v>745</v>
      </c>
      <c r="C383" s="9" t="s">
        <v>6</v>
      </c>
      <c r="D383" s="4"/>
      <c r="E383" s="4"/>
      <c r="F383" s="4"/>
      <c r="G383" s="5">
        <v>0</v>
      </c>
    </row>
    <row r="384" spans="1:7" ht="12.75" customHeight="1" x14ac:dyDescent="0.25">
      <c r="A384" s="8">
        <v>1235</v>
      </c>
      <c r="B384" s="9" t="s">
        <v>795</v>
      </c>
      <c r="C384" s="9" t="s">
        <v>6</v>
      </c>
      <c r="D384" s="4"/>
      <c r="E384" s="4"/>
      <c r="F384" s="4"/>
      <c r="G384" s="5">
        <v>0</v>
      </c>
    </row>
    <row r="385" spans="1:7" ht="12.75" customHeight="1" x14ac:dyDescent="0.25">
      <c r="A385" s="8">
        <v>1238</v>
      </c>
      <c r="B385" s="9" t="s">
        <v>827</v>
      </c>
      <c r="C385" s="9" t="s">
        <v>67</v>
      </c>
      <c r="D385" s="4"/>
      <c r="E385" s="4"/>
      <c r="F385" s="4"/>
      <c r="G385" s="5">
        <v>4666</v>
      </c>
    </row>
    <row r="386" spans="1:7" ht="12.75" customHeight="1" x14ac:dyDescent="0.25">
      <c r="A386" s="8">
        <v>1250</v>
      </c>
      <c r="B386" s="9" t="s">
        <v>726</v>
      </c>
      <c r="C386" s="9" t="s">
        <v>6</v>
      </c>
      <c r="D386" s="4"/>
      <c r="E386" s="4"/>
      <c r="F386" s="5">
        <v>0</v>
      </c>
      <c r="G386" s="4"/>
    </row>
    <row r="387" spans="1:7" ht="12.75" customHeight="1" x14ac:dyDescent="0.25">
      <c r="A387" s="8">
        <v>1251</v>
      </c>
      <c r="B387" s="9" t="s">
        <v>729</v>
      </c>
      <c r="C387" s="9" t="s">
        <v>6</v>
      </c>
      <c r="D387" s="5">
        <v>0</v>
      </c>
      <c r="E387" s="5">
        <v>0</v>
      </c>
      <c r="F387" s="5">
        <v>0</v>
      </c>
      <c r="G387" s="4"/>
    </row>
    <row r="388" spans="1:7" ht="12.75" customHeight="1" x14ac:dyDescent="0.25">
      <c r="A388" s="8">
        <v>1252</v>
      </c>
      <c r="B388" s="9" t="s">
        <v>731</v>
      </c>
      <c r="C388" s="9" t="s">
        <v>6</v>
      </c>
      <c r="D388" s="5">
        <v>0</v>
      </c>
      <c r="E388" s="5">
        <v>0</v>
      </c>
      <c r="F388" s="5">
        <v>0</v>
      </c>
      <c r="G388" s="4"/>
    </row>
    <row r="389" spans="1:7" ht="12.75" customHeight="1" x14ac:dyDescent="0.25">
      <c r="A389" s="8">
        <v>1253</v>
      </c>
      <c r="B389" s="9" t="s">
        <v>732</v>
      </c>
      <c r="C389" s="9" t="s">
        <v>6</v>
      </c>
      <c r="D389" s="4"/>
      <c r="E389" s="4"/>
      <c r="F389" s="5">
        <v>0</v>
      </c>
      <c r="G389" s="4"/>
    </row>
    <row r="390" spans="1:7" ht="12.75" customHeight="1" x14ac:dyDescent="0.25">
      <c r="A390" s="8">
        <v>1254</v>
      </c>
      <c r="B390" s="9" t="s">
        <v>727</v>
      </c>
      <c r="C390" s="9" t="s">
        <v>6</v>
      </c>
      <c r="D390" s="4"/>
      <c r="E390" s="5">
        <v>0</v>
      </c>
      <c r="F390" s="5">
        <v>0</v>
      </c>
      <c r="G390" s="4"/>
    </row>
    <row r="391" spans="1:7" ht="12.75" customHeight="1" x14ac:dyDescent="0.25">
      <c r="A391" s="8">
        <v>1255</v>
      </c>
      <c r="B391" s="9" t="s">
        <v>730</v>
      </c>
      <c r="C391" s="9" t="s">
        <v>6</v>
      </c>
      <c r="D391" s="4"/>
      <c r="E391" s="5">
        <v>0</v>
      </c>
      <c r="F391" s="5">
        <v>0</v>
      </c>
      <c r="G391" s="4"/>
    </row>
    <row r="392" spans="1:7" ht="12.75" customHeight="1" x14ac:dyDescent="0.25">
      <c r="A392" s="8">
        <v>1256</v>
      </c>
      <c r="B392" s="9" t="s">
        <v>829</v>
      </c>
      <c r="C392" s="9" t="s">
        <v>6</v>
      </c>
      <c r="D392" s="4"/>
      <c r="E392" s="5">
        <v>0</v>
      </c>
      <c r="F392" s="5">
        <v>0</v>
      </c>
      <c r="G392" s="4"/>
    </row>
    <row r="394" spans="1:7" ht="12.75" customHeight="1" x14ac:dyDescent="0.25">
      <c r="D394" s="2">
        <f>SUM(D2:D392)</f>
        <v>472933</v>
      </c>
      <c r="E394" s="2">
        <f>SUM(E2:E392)</f>
        <v>474837</v>
      </c>
      <c r="F394" s="2">
        <f>SUM(F2:F392)</f>
        <v>389568</v>
      </c>
      <c r="G394" s="2">
        <f>SUM(G2:G392)</f>
        <v>403272</v>
      </c>
    </row>
  </sheetData>
  <sortState xmlns:xlrd2="http://schemas.microsoft.com/office/spreadsheetml/2017/richdata2" ref="A2:G1021">
    <sortCondition ref="A2:A10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4B97-9EB8-4FDD-9440-1D6E1D15898F}">
  <dimension ref="A1:BF3"/>
  <sheetViews>
    <sheetView zoomScaleNormal="100" workbookViewId="0">
      <pane xSplit="1" ySplit="1" topLeftCell="B2" activePane="bottomRight" state="frozen"/>
      <selection pane="topRight" activeCell="F1" sqref="F1"/>
      <selection pane="bottomLeft" activeCell="A2" sqref="A2"/>
      <selection pane="bottomRight" sqref="A1:XFD1048576"/>
    </sheetView>
  </sheetViews>
  <sheetFormatPr defaultColWidth="9.140625" defaultRowHeight="12.75" customHeight="1" x14ac:dyDescent="0.25"/>
  <cols>
    <col min="1" max="1" width="27.42578125" style="10" bestFit="1" customWidth="1"/>
    <col min="2" max="18" width="9.140625" style="10"/>
    <col min="19" max="19" width="10.7109375" style="10" bestFit="1" customWidth="1"/>
    <col min="20" max="26" width="9.140625" style="10"/>
    <col min="27" max="54" width="9.140625" style="11"/>
    <col min="55" max="16384" width="9.140625" style="10"/>
  </cols>
  <sheetData>
    <row r="1" spans="1:58" ht="54.75" customHeight="1" x14ac:dyDescent="0.25">
      <c r="B1" s="12" t="s">
        <v>890</v>
      </c>
      <c r="C1" s="12"/>
      <c r="D1" s="12" t="s">
        <v>891</v>
      </c>
      <c r="E1" s="13"/>
      <c r="F1" s="12" t="s">
        <v>892</v>
      </c>
      <c r="G1" s="13"/>
      <c r="H1" s="12" t="s">
        <v>893</v>
      </c>
      <c r="I1" s="13"/>
      <c r="J1" s="12" t="s">
        <v>894</v>
      </c>
      <c r="K1" s="13"/>
      <c r="L1" s="12" t="s">
        <v>895</v>
      </c>
      <c r="M1" s="13"/>
      <c r="N1" s="12" t="s">
        <v>896</v>
      </c>
      <c r="O1" s="13"/>
      <c r="P1" s="12" t="s">
        <v>897</v>
      </c>
      <c r="Q1" s="13"/>
      <c r="S1" s="14" t="s">
        <v>842</v>
      </c>
      <c r="T1" s="14" t="s">
        <v>846</v>
      </c>
      <c r="U1" s="14" t="s">
        <v>847</v>
      </c>
      <c r="V1" s="14" t="s">
        <v>848</v>
      </c>
      <c r="W1" s="14" t="s">
        <v>849</v>
      </c>
      <c r="X1" s="14" t="s">
        <v>850</v>
      </c>
      <c r="Y1" s="14" t="s">
        <v>851</v>
      </c>
      <c r="Z1" s="14" t="s">
        <v>852</v>
      </c>
      <c r="AA1" s="14" t="s">
        <v>853</v>
      </c>
      <c r="AB1" s="14" t="s">
        <v>854</v>
      </c>
      <c r="AC1" s="14" t="s">
        <v>855</v>
      </c>
      <c r="AD1" s="14" t="s">
        <v>856</v>
      </c>
      <c r="AE1" s="14" t="s">
        <v>857</v>
      </c>
      <c r="AF1" s="14" t="s">
        <v>858</v>
      </c>
      <c r="AG1" s="14" t="s">
        <v>859</v>
      </c>
      <c r="AH1" s="14" t="s">
        <v>860</v>
      </c>
      <c r="AI1" s="14" t="s">
        <v>861</v>
      </c>
      <c r="AJ1" s="14" t="s">
        <v>862</v>
      </c>
      <c r="AK1" s="14" t="s">
        <v>863</v>
      </c>
      <c r="AL1" s="14" t="s">
        <v>864</v>
      </c>
      <c r="AM1" s="14" t="s">
        <v>865</v>
      </c>
      <c r="AN1" s="14" t="s">
        <v>866</v>
      </c>
      <c r="AO1" s="14" t="s">
        <v>867</v>
      </c>
      <c r="AP1" s="14" t="s">
        <v>868</v>
      </c>
      <c r="AQ1" s="14" t="s">
        <v>869</v>
      </c>
      <c r="AR1" s="14" t="s">
        <v>870</v>
      </c>
      <c r="AS1" s="14" t="s">
        <v>871</v>
      </c>
      <c r="AT1" s="14" t="s">
        <v>872</v>
      </c>
      <c r="AU1" s="14" t="s">
        <v>873</v>
      </c>
      <c r="AV1" s="14" t="s">
        <v>874</v>
      </c>
      <c r="AW1" s="14" t="s">
        <v>875</v>
      </c>
      <c r="AX1" s="14" t="s">
        <v>876</v>
      </c>
      <c r="AY1" s="14" t="s">
        <v>877</v>
      </c>
      <c r="AZ1" s="14" t="s">
        <v>878</v>
      </c>
      <c r="BA1" s="14" t="s">
        <v>879</v>
      </c>
      <c r="BB1" s="14" t="s">
        <v>880</v>
      </c>
      <c r="BC1" s="14" t="s">
        <v>881</v>
      </c>
      <c r="BD1" s="14" t="s">
        <v>843</v>
      </c>
      <c r="BE1" s="14" t="s">
        <v>844</v>
      </c>
      <c r="BF1" s="14" t="s">
        <v>845</v>
      </c>
    </row>
    <row r="2" spans="1:58" ht="12.75" customHeight="1" x14ac:dyDescent="0.25">
      <c r="A2" s="10" t="s">
        <v>725</v>
      </c>
      <c r="B2" s="10">
        <v>566000</v>
      </c>
      <c r="D2" s="10">
        <v>400000</v>
      </c>
      <c r="F2" s="10">
        <v>355000</v>
      </c>
      <c r="H2" s="10">
        <v>320000</v>
      </c>
      <c r="J2" s="10">
        <v>475462</v>
      </c>
      <c r="L2" s="10">
        <v>435000</v>
      </c>
      <c r="N2" s="10">
        <v>422780</v>
      </c>
      <c r="P2" s="10">
        <v>674420</v>
      </c>
      <c r="S2" s="10">
        <v>694825</v>
      </c>
      <c r="T2" s="10">
        <v>601468</v>
      </c>
      <c r="U2" s="10">
        <v>542496</v>
      </c>
      <c r="V2" s="10">
        <v>334280</v>
      </c>
      <c r="W2" s="10">
        <v>376155</v>
      </c>
      <c r="X2" s="10">
        <v>665100</v>
      </c>
      <c r="Y2" s="10">
        <v>569610</v>
      </c>
      <c r="Z2" s="10">
        <v>365380</v>
      </c>
      <c r="AA2" s="10">
        <v>527136</v>
      </c>
      <c r="AB2" s="10">
        <v>992285</v>
      </c>
      <c r="AC2" s="10">
        <v>437782</v>
      </c>
      <c r="AD2" s="10">
        <v>726981</v>
      </c>
      <c r="AE2" s="10">
        <v>656442</v>
      </c>
      <c r="AF2" s="10">
        <v>977653</v>
      </c>
      <c r="AG2" s="10">
        <v>663911</v>
      </c>
      <c r="AH2" s="10">
        <v>580509</v>
      </c>
      <c r="AI2" s="10">
        <v>453327</v>
      </c>
      <c r="AJ2" s="10">
        <v>503828</v>
      </c>
      <c r="AK2" s="10">
        <v>661997</v>
      </c>
      <c r="AL2" s="10">
        <v>469766</v>
      </c>
      <c r="AM2" s="10">
        <v>509697</v>
      </c>
      <c r="AN2" s="10">
        <v>659341</v>
      </c>
      <c r="AO2" s="10">
        <v>613466</v>
      </c>
      <c r="AP2" s="10">
        <v>681576</v>
      </c>
      <c r="AQ2" s="10">
        <v>778388</v>
      </c>
      <c r="AR2" s="10">
        <v>670036</v>
      </c>
      <c r="AS2" s="10">
        <v>642278</v>
      </c>
      <c r="AT2" s="10">
        <v>471480</v>
      </c>
      <c r="AU2" s="10">
        <v>467520</v>
      </c>
      <c r="AV2" s="10">
        <v>456589</v>
      </c>
      <c r="AW2" s="10"/>
      <c r="AX2" s="11">
        <v>472933</v>
      </c>
      <c r="AY2" s="10">
        <v>589531</v>
      </c>
      <c r="AZ2" s="11">
        <v>474837</v>
      </c>
      <c r="BA2" s="11">
        <v>389568</v>
      </c>
      <c r="BB2" s="11">
        <v>403272</v>
      </c>
      <c r="BC2" s="10">
        <v>477535</v>
      </c>
      <c r="BD2" s="10">
        <v>844782</v>
      </c>
      <c r="BE2" s="10">
        <v>571484</v>
      </c>
      <c r="BF2" s="10">
        <v>629026</v>
      </c>
    </row>
    <row r="3" spans="1:58" ht="12.75" customHeight="1" x14ac:dyDescent="0.25">
      <c r="A3" s="10" t="s">
        <v>882</v>
      </c>
      <c r="B3" s="10">
        <v>15</v>
      </c>
      <c r="D3" s="10">
        <v>26</v>
      </c>
      <c r="F3" s="10">
        <v>56</v>
      </c>
      <c r="H3" s="10">
        <v>55</v>
      </c>
      <c r="J3" s="10">
        <v>27</v>
      </c>
      <c r="L3" s="10">
        <v>58</v>
      </c>
      <c r="N3" s="10">
        <v>77</v>
      </c>
      <c r="P3" s="10">
        <v>46</v>
      </c>
      <c r="S3" s="11">
        <v>124</v>
      </c>
      <c r="T3" s="11">
        <v>127</v>
      </c>
      <c r="U3" s="11">
        <v>144</v>
      </c>
      <c r="V3" s="11">
        <v>126</v>
      </c>
      <c r="W3" s="11">
        <v>126</v>
      </c>
      <c r="X3" s="11">
        <v>118</v>
      </c>
      <c r="Y3" s="11">
        <v>117</v>
      </c>
      <c r="Z3" s="11">
        <v>104</v>
      </c>
      <c r="AA3" s="11">
        <v>121</v>
      </c>
      <c r="AB3" s="11">
        <v>105</v>
      </c>
      <c r="AC3" s="11">
        <v>75</v>
      </c>
      <c r="AD3" s="11">
        <v>73</v>
      </c>
      <c r="AE3" s="11">
        <v>106</v>
      </c>
      <c r="AF3" s="11">
        <v>112</v>
      </c>
      <c r="AG3" s="11">
        <v>74</v>
      </c>
      <c r="AH3" s="11">
        <v>76</v>
      </c>
      <c r="AI3" s="11">
        <v>138</v>
      </c>
      <c r="AJ3" s="11">
        <v>129</v>
      </c>
      <c r="AK3" s="11">
        <v>98</v>
      </c>
      <c r="AL3" s="11">
        <v>77</v>
      </c>
      <c r="AM3" s="11">
        <v>111</v>
      </c>
      <c r="AN3" s="11">
        <v>126</v>
      </c>
      <c r="AO3" s="11">
        <v>122</v>
      </c>
      <c r="AP3" s="11">
        <v>65</v>
      </c>
      <c r="AQ3" s="11">
        <v>123</v>
      </c>
      <c r="AR3" s="11">
        <v>103</v>
      </c>
      <c r="AS3" s="11">
        <v>107</v>
      </c>
      <c r="AT3" s="11">
        <v>112</v>
      </c>
      <c r="AU3" s="10">
        <v>157</v>
      </c>
      <c r="AV3" s="10">
        <v>155</v>
      </c>
      <c r="AW3" s="10"/>
      <c r="AX3" s="10">
        <v>50</v>
      </c>
      <c r="AY3" s="10">
        <v>128</v>
      </c>
      <c r="AZ3" s="10">
        <v>104</v>
      </c>
      <c r="BA3" s="10">
        <v>53</v>
      </c>
      <c r="BB3" s="10">
        <v>33</v>
      </c>
      <c r="BC3" s="10">
        <v>98</v>
      </c>
      <c r="BD3" s="10">
        <v>135</v>
      </c>
      <c r="BE3" s="10">
        <v>89</v>
      </c>
      <c r="BF3" s="10">
        <v>46</v>
      </c>
    </row>
  </sheetData>
  <pageMargins left="0.7" right="0.7" top="0.75" bottom="0.75" header="0.3" footer="0.3"/>
  <pageSetup paperSize="9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AD71-34DC-43BB-A8E0-20AC1E347EAB}">
  <dimension ref="A1:AS9"/>
  <sheetViews>
    <sheetView tabSelected="1" zoomScaleNormal="100" workbookViewId="0">
      <pane xSplit="3" ySplit="1" topLeftCell="D2" activePane="bottomRight" state="frozen"/>
      <selection pane="topRight" activeCell="F1" sqref="F1"/>
      <selection pane="bottomLeft" activeCell="A2" sqref="A2"/>
      <selection pane="bottomRight" activeCell="E5" sqref="E5"/>
    </sheetView>
  </sheetViews>
  <sheetFormatPr defaultColWidth="9.140625" defaultRowHeight="12.75" customHeight="1" x14ac:dyDescent="0.25"/>
  <cols>
    <col min="1" max="1" width="13.140625" style="10" bestFit="1" customWidth="1"/>
    <col min="2" max="3" width="9.140625" style="10"/>
    <col min="4" max="4" width="10.7109375" style="10" bestFit="1" customWidth="1"/>
    <col min="5" max="11" width="9.140625" style="10"/>
    <col min="12" max="39" width="9.140625" style="11"/>
    <col min="40" max="16384" width="9.140625" style="10"/>
  </cols>
  <sheetData>
    <row r="1" spans="1:45" ht="54.75" customHeight="1" x14ac:dyDescent="0.25">
      <c r="D1" s="14" t="s">
        <v>842</v>
      </c>
      <c r="E1" s="14" t="s">
        <v>846</v>
      </c>
      <c r="F1" s="14" t="s">
        <v>847</v>
      </c>
      <c r="G1" s="14" t="s">
        <v>848</v>
      </c>
      <c r="H1" s="14" t="s">
        <v>849</v>
      </c>
      <c r="I1" s="14" t="s">
        <v>850</v>
      </c>
      <c r="J1" s="14" t="s">
        <v>851</v>
      </c>
      <c r="K1" s="14" t="s">
        <v>852</v>
      </c>
      <c r="L1" s="14" t="s">
        <v>853</v>
      </c>
      <c r="M1" s="14" t="s">
        <v>854</v>
      </c>
      <c r="N1" s="14" t="s">
        <v>855</v>
      </c>
      <c r="O1" s="14" t="s">
        <v>856</v>
      </c>
      <c r="P1" s="14" t="s">
        <v>857</v>
      </c>
      <c r="Q1" s="14" t="s">
        <v>858</v>
      </c>
      <c r="R1" s="14" t="s">
        <v>859</v>
      </c>
      <c r="S1" s="14" t="s">
        <v>860</v>
      </c>
      <c r="T1" s="14" t="s">
        <v>861</v>
      </c>
      <c r="U1" s="14" t="s">
        <v>862</v>
      </c>
      <c r="V1" s="14" t="s">
        <v>863</v>
      </c>
      <c r="W1" s="14" t="s">
        <v>864</v>
      </c>
      <c r="X1" s="14" t="s">
        <v>865</v>
      </c>
      <c r="Y1" s="14" t="s">
        <v>866</v>
      </c>
      <c r="Z1" s="14" t="s">
        <v>867</v>
      </c>
      <c r="AA1" s="14" t="s">
        <v>868</v>
      </c>
      <c r="AB1" s="14" t="s">
        <v>869</v>
      </c>
      <c r="AC1" s="14" t="s">
        <v>870</v>
      </c>
      <c r="AD1" s="14" t="s">
        <v>871</v>
      </c>
      <c r="AE1" s="14" t="s">
        <v>872</v>
      </c>
      <c r="AF1" s="14" t="s">
        <v>873</v>
      </c>
      <c r="AG1" s="14" t="s">
        <v>874</v>
      </c>
      <c r="AH1" s="14" t="s">
        <v>875</v>
      </c>
      <c r="AI1" s="14" t="s">
        <v>876</v>
      </c>
      <c r="AJ1" s="14" t="s">
        <v>877</v>
      </c>
      <c r="AK1" s="14" t="s">
        <v>878</v>
      </c>
      <c r="AL1" s="14" t="s">
        <v>879</v>
      </c>
      <c r="AM1" s="14" t="s">
        <v>880</v>
      </c>
      <c r="AN1" s="14" t="s">
        <v>881</v>
      </c>
      <c r="AO1" s="14" t="s">
        <v>843</v>
      </c>
      <c r="AP1" s="14" t="s">
        <v>844</v>
      </c>
      <c r="AQ1" s="14" t="s">
        <v>845</v>
      </c>
    </row>
    <row r="2" spans="1:45" ht="12.75" customHeight="1" x14ac:dyDescent="0.25">
      <c r="A2" s="10" t="s">
        <v>885</v>
      </c>
      <c r="B2" s="10" t="s">
        <v>725</v>
      </c>
      <c r="D2" s="10">
        <v>694825</v>
      </c>
      <c r="E2" s="10">
        <v>601468</v>
      </c>
      <c r="F2" s="10">
        <v>542496</v>
      </c>
      <c r="G2" s="10">
        <v>334280</v>
      </c>
      <c r="H2" s="10">
        <v>376155</v>
      </c>
      <c r="I2" s="10">
        <v>665100</v>
      </c>
      <c r="J2" s="10">
        <v>569610</v>
      </c>
      <c r="K2" s="10">
        <v>365380</v>
      </c>
      <c r="L2" s="10">
        <v>527136</v>
      </c>
      <c r="M2" s="10">
        <v>992285</v>
      </c>
      <c r="N2" s="10">
        <v>437782</v>
      </c>
      <c r="O2" s="10">
        <v>726981</v>
      </c>
      <c r="P2" s="10">
        <v>656442</v>
      </c>
      <c r="Q2" s="10">
        <v>977653</v>
      </c>
      <c r="R2" s="10">
        <v>663911</v>
      </c>
      <c r="S2" s="10">
        <v>580509</v>
      </c>
      <c r="T2" s="10">
        <v>453327</v>
      </c>
      <c r="U2" s="10">
        <v>503828</v>
      </c>
      <c r="V2" s="10">
        <v>661997</v>
      </c>
      <c r="W2" s="10">
        <v>469766</v>
      </c>
      <c r="X2" s="10">
        <v>509697</v>
      </c>
      <c r="Y2" s="10">
        <v>659341</v>
      </c>
      <c r="Z2" s="10">
        <v>613466</v>
      </c>
      <c r="AA2" s="10">
        <v>681576</v>
      </c>
      <c r="AB2" s="10">
        <v>778388</v>
      </c>
      <c r="AC2" s="10">
        <v>670036</v>
      </c>
      <c r="AD2" s="10">
        <v>642278</v>
      </c>
      <c r="AE2" s="10">
        <v>471480</v>
      </c>
      <c r="AF2" s="10">
        <v>467520</v>
      </c>
      <c r="AG2" s="10">
        <v>456589</v>
      </c>
      <c r="AH2" s="10"/>
      <c r="AI2" s="11">
        <v>472933</v>
      </c>
      <c r="AJ2" s="10">
        <v>589531</v>
      </c>
      <c r="AK2" s="11">
        <v>474837</v>
      </c>
      <c r="AL2" s="11">
        <v>389568</v>
      </c>
      <c r="AM2" s="11">
        <v>403272</v>
      </c>
      <c r="AN2" s="10">
        <v>477535</v>
      </c>
      <c r="AO2" s="10">
        <v>844782</v>
      </c>
      <c r="AP2" s="10">
        <v>571484</v>
      </c>
      <c r="AQ2" s="10">
        <v>629026</v>
      </c>
    </row>
    <row r="3" spans="1:45" ht="12.75" customHeight="1" x14ac:dyDescent="0.25"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J3" s="10"/>
    </row>
    <row r="4" spans="1:45" ht="12.75" customHeight="1" x14ac:dyDescent="0.25">
      <c r="A4" s="10" t="s">
        <v>886</v>
      </c>
      <c r="B4" s="10" t="s">
        <v>887</v>
      </c>
      <c r="D4" s="10">
        <v>813418.65101615002</v>
      </c>
      <c r="E4" s="10">
        <v>773556.43854340201</v>
      </c>
      <c r="F4" s="10">
        <v>714973.89471147698</v>
      </c>
      <c r="G4" s="10">
        <v>667743.59471076005</v>
      </c>
      <c r="H4" s="10">
        <v>639658.61138651497</v>
      </c>
      <c r="I4" s="10">
        <v>760712.45596876298</v>
      </c>
      <c r="J4" s="10">
        <v>734688.62889502896</v>
      </c>
      <c r="K4" s="10">
        <v>706783.85322248598</v>
      </c>
      <c r="L4" s="10">
        <v>704709.12878504395</v>
      </c>
      <c r="M4" s="10">
        <v>969447.24983582995</v>
      </c>
      <c r="N4" s="10">
        <v>871425.45096319704</v>
      </c>
      <c r="O4" s="10">
        <v>889101.72874233196</v>
      </c>
      <c r="P4" s="10">
        <v>839236.83777797699</v>
      </c>
      <c r="Q4" s="10">
        <v>1005476.76948059</v>
      </c>
      <c r="R4" s="10">
        <v>881364.60951872298</v>
      </c>
      <c r="S4" s="10">
        <v>785813.62733878102</v>
      </c>
      <c r="T4" s="10">
        <v>702138.86094533699</v>
      </c>
      <c r="U4" s="10">
        <v>776462.07340516103</v>
      </c>
      <c r="V4" s="10">
        <v>764437.43332183198</v>
      </c>
      <c r="W4" s="10">
        <v>728111.75396078394</v>
      </c>
      <c r="X4" s="10">
        <v>697599.10419083398</v>
      </c>
      <c r="Y4" s="10">
        <v>826629.31206938904</v>
      </c>
      <c r="Z4" s="10">
        <v>819293.30793462903</v>
      </c>
      <c r="AA4" s="10">
        <v>863276.10330098402</v>
      </c>
      <c r="AB4" s="10">
        <v>848805.51823308598</v>
      </c>
      <c r="AC4" s="10">
        <v>838848.87845202896</v>
      </c>
      <c r="AD4" s="10">
        <v>785066.27725974703</v>
      </c>
      <c r="AE4" s="10">
        <v>717135.36045647797</v>
      </c>
      <c r="AF4" s="10">
        <v>671267.860379825</v>
      </c>
      <c r="AG4" s="10">
        <v>759538.19839668402</v>
      </c>
      <c r="AH4" s="10">
        <v>741231.36494115402</v>
      </c>
      <c r="AI4" s="10">
        <v>728714.51847352798</v>
      </c>
      <c r="AJ4" s="10">
        <v>713539.79008045699</v>
      </c>
      <c r="AK4" s="10">
        <v>872168.07421178895</v>
      </c>
      <c r="AL4" s="10">
        <v>825026.77968057396</v>
      </c>
      <c r="AM4" s="10">
        <v>780395.32711708394</v>
      </c>
      <c r="AN4" s="10">
        <v>729728.61547839304</v>
      </c>
      <c r="AO4" s="10">
        <v>904240.26382969297</v>
      </c>
      <c r="AP4" s="10">
        <v>864671.64490218204</v>
      </c>
      <c r="AQ4" s="10">
        <v>877323.215157261</v>
      </c>
      <c r="AS4" s="10">
        <f>AVERAGE(D4:AQ4)</f>
        <v>789844.02917689923</v>
      </c>
    </row>
    <row r="5" spans="1:45" ht="12.75" customHeight="1" x14ac:dyDescent="0.25">
      <c r="B5" s="10" t="s">
        <v>889</v>
      </c>
      <c r="D5" s="10">
        <v>622578.59786598803</v>
      </c>
      <c r="E5" s="10">
        <v>647342.00351241301</v>
      </c>
      <c r="F5" s="10">
        <v>601671.64419618202</v>
      </c>
      <c r="G5" s="10">
        <v>547707.63900673005</v>
      </c>
      <c r="H5" s="10">
        <v>516968.567654663</v>
      </c>
      <c r="I5" s="10">
        <v>646634.934857641</v>
      </c>
      <c r="J5" s="10">
        <v>625658.457092611</v>
      </c>
      <c r="K5" s="10">
        <v>594722.16589900898</v>
      </c>
      <c r="L5" s="10">
        <v>589821.27750297205</v>
      </c>
      <c r="M5" s="10">
        <v>752656.95418038999</v>
      </c>
      <c r="N5" s="10">
        <v>696697.48485942301</v>
      </c>
      <c r="O5" s="10">
        <v>706671.12947465805</v>
      </c>
      <c r="P5" s="10">
        <v>676475.50692003197</v>
      </c>
      <c r="Q5" s="10">
        <v>791852.50386821898</v>
      </c>
      <c r="R5" s="10">
        <v>720661.47100432694</v>
      </c>
      <c r="S5" s="10">
        <v>658379.63638062798</v>
      </c>
      <c r="T5" s="10">
        <v>591209.99503833905</v>
      </c>
      <c r="U5" s="10">
        <v>656541.33422928804</v>
      </c>
      <c r="V5" s="10">
        <v>656574.91578278097</v>
      </c>
      <c r="W5" s="10">
        <v>620845.73312228802</v>
      </c>
      <c r="X5" s="10">
        <v>592038.51962612697</v>
      </c>
      <c r="Y5" s="10">
        <v>702972.24588158506</v>
      </c>
      <c r="Z5" s="10">
        <v>688777.63317760103</v>
      </c>
      <c r="AA5" s="10">
        <v>691378.50259863702</v>
      </c>
      <c r="AB5" s="10">
        <v>668797.42968822399</v>
      </c>
      <c r="AC5" s="10">
        <v>709960.27711857797</v>
      </c>
      <c r="AD5" s="10">
        <v>667815.07948451198</v>
      </c>
      <c r="AE5" s="10">
        <v>609785.22357737902</v>
      </c>
      <c r="AF5" s="10">
        <v>558226.32314408105</v>
      </c>
      <c r="AG5" s="10">
        <v>609023.22955349495</v>
      </c>
      <c r="AH5" s="10">
        <v>607156.07406827097</v>
      </c>
      <c r="AI5" s="10">
        <v>598828.68930747197</v>
      </c>
      <c r="AJ5" s="10">
        <v>590220.47745968797</v>
      </c>
      <c r="AK5" s="10">
        <v>685510.35176809796</v>
      </c>
      <c r="AL5" s="10">
        <v>655336.58048116602</v>
      </c>
      <c r="AM5" s="10">
        <v>626032.27415603702</v>
      </c>
      <c r="AN5" s="10">
        <v>595740.72110451502</v>
      </c>
      <c r="AO5" s="10">
        <v>747445.02156515501</v>
      </c>
      <c r="AP5" s="10">
        <v>707477.12503396603</v>
      </c>
      <c r="AQ5" s="10">
        <v>692300.15502780594</v>
      </c>
      <c r="AS5" s="10">
        <f>AVERAGE(D5:AQ5)</f>
        <v>648162.34715677449</v>
      </c>
    </row>
    <row r="6" spans="1:45" ht="11.45" customHeight="1" x14ac:dyDescent="0.25">
      <c r="B6" s="10" t="s">
        <v>888</v>
      </c>
      <c r="D6" s="10">
        <v>495653.76545793301</v>
      </c>
      <c r="E6" s="10">
        <v>540843.12672688498</v>
      </c>
      <c r="F6" s="10">
        <v>501918.64674505102</v>
      </c>
      <c r="G6" s="10">
        <v>430240.52138041001</v>
      </c>
      <c r="H6" s="10">
        <v>401664.84660477698</v>
      </c>
      <c r="I6" s="10">
        <v>539935.13501113502</v>
      </c>
      <c r="J6" s="10">
        <v>527354.40841362998</v>
      </c>
      <c r="K6" s="10">
        <v>483827.72329430201</v>
      </c>
      <c r="L6" s="10">
        <v>496894.26229180099</v>
      </c>
      <c r="M6" s="10">
        <v>628989.61843932304</v>
      </c>
      <c r="N6" s="10">
        <v>592687.62196357199</v>
      </c>
      <c r="O6" s="10">
        <v>592446.64100623701</v>
      </c>
      <c r="P6" s="10">
        <v>562708.59700957302</v>
      </c>
      <c r="Q6" s="10">
        <v>654299.95853904099</v>
      </c>
      <c r="R6" s="10">
        <v>619986.16440826503</v>
      </c>
      <c r="S6" s="10">
        <v>568683.012747698</v>
      </c>
      <c r="T6" s="10">
        <v>480651.889901168</v>
      </c>
      <c r="U6" s="10">
        <v>522200.09558411798</v>
      </c>
      <c r="V6" s="10">
        <v>557429.52621281205</v>
      </c>
      <c r="W6" s="10">
        <v>520815.30056386697</v>
      </c>
      <c r="X6" s="10">
        <v>495309.75107514102</v>
      </c>
      <c r="Y6" s="10">
        <v>599058.30554580095</v>
      </c>
      <c r="Z6" s="10">
        <v>594267.20657945005</v>
      </c>
      <c r="AA6" s="10">
        <v>590383.10964116198</v>
      </c>
      <c r="AB6" s="10">
        <v>559496.09412509797</v>
      </c>
      <c r="AC6" s="10">
        <v>607826.50308890396</v>
      </c>
      <c r="AD6" s="10">
        <v>572025.63943272398</v>
      </c>
      <c r="AE6" s="10">
        <v>506195.50411960803</v>
      </c>
      <c r="AF6" s="10">
        <v>452165.884134933</v>
      </c>
      <c r="AG6" s="10">
        <v>460812.66205017403</v>
      </c>
      <c r="AH6" s="10">
        <v>455979.418167355</v>
      </c>
      <c r="AI6" s="10">
        <v>464430.95149812102</v>
      </c>
      <c r="AJ6" s="10">
        <v>480049.224592602</v>
      </c>
      <c r="AK6" s="10">
        <v>522355.14672411903</v>
      </c>
      <c r="AL6" s="10">
        <v>501093.088844351</v>
      </c>
      <c r="AM6" s="10">
        <v>485651.962007672</v>
      </c>
      <c r="AN6" s="10">
        <v>482653.14938059601</v>
      </c>
      <c r="AO6" s="10">
        <v>617516.98348915798</v>
      </c>
      <c r="AP6" s="10">
        <v>588796.07221644896</v>
      </c>
      <c r="AQ6" s="10">
        <v>563337.41435908701</v>
      </c>
      <c r="AS6" s="10">
        <f>AVERAGE(D6:AQ6)</f>
        <v>532965.87333435263</v>
      </c>
    </row>
    <row r="7" spans="1:45" ht="29.25" customHeight="1" x14ac:dyDescent="0.25">
      <c r="B7" s="15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</row>
    <row r="8" spans="1:45" ht="12.75" customHeight="1" x14ac:dyDescent="0.25"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45" s="11" customFormat="1" ht="12.75" customHeight="1" x14ac:dyDescent="0.25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</row>
  </sheetData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NFFMP GHFF counts</vt:lpstr>
      <vt:lpstr>Covid affected surveys</vt:lpstr>
      <vt:lpstr>Fig 2 data</vt:lpstr>
      <vt:lpstr>Fig 3 data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McKeown, Adam (L&amp;W, Cairns)</dc:creator>
  <cp:lastModifiedBy>Vanderduys, Eric (Environment, Dutton Park)</cp:lastModifiedBy>
  <dcterms:created xsi:type="dcterms:W3CDTF">2020-01-12T20:54:38Z</dcterms:created>
  <dcterms:modified xsi:type="dcterms:W3CDTF">2024-01-10T05:06:07Z</dcterms:modified>
</cp:coreProperties>
</file>